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OD" sheetId="1" state="visible" r:id="rId3"/>
    <sheet name="BAR" sheetId="2" state="visible" r:id="rId4"/>
  </sheets>
  <definedNames>
    <definedName function="false" hidden="false" localSheetId="1" name="_xlnm.Print_Area" vbProcedure="false">BAR!$B$1:$L$102</definedName>
    <definedName function="false" hidden="false" localSheetId="1" name="_xlnm.Print_Titles" vbProcedure="false">BAR!$1:$6</definedName>
    <definedName function="false" hidden="false" localSheetId="0" name="_xlnm.Print_Area" vbProcedure="false">FOOD!$C$1:$I$222</definedName>
    <definedName function="false" hidden="false" localSheetId="0" name="_xlnm.Print_Titles" vbProcedure="false">FOOD!$1:$6</definedName>
    <definedName function="false" hidden="false" name="selfish" vbProcedure="false">food!#ref!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Jim Laube</author>
  </authors>
  <commentList>
    <comment ref="E5" authorId="0">
      <text>
        <r>
          <rPr>
            <sz val="10"/>
            <rFont val="Calibri"/>
            <family val="2"/>
          </rPr>
          <t xml:space="preserve">Order Unit is the unit each item unit type to order each product. For example, bottle, case, pound, lug, flat, etc.
</t>
        </r>
      </text>
    </comment>
    <comment ref="E27" authorId="0">
      <text>
        <r>
          <rPr>
            <sz val="10"/>
            <rFont val="Calibri"/>
            <family val="2"/>
          </rPr>
          <t xml:space="preserve">Order Unit is the unit each item unit type to order each product. For example, bottle, case, pound, lug, flat, etc.
</t>
        </r>
      </text>
    </comment>
    <comment ref="E43" authorId="0">
      <text>
        <r>
          <rPr>
            <sz val="10"/>
            <rFont val="Calibri"/>
            <family val="2"/>
          </rPr>
          <t xml:space="preserve">Order Unit is the unit each item unit type to order each product. For example, bottle, case, pound, lug, flat, etc.
</t>
        </r>
      </text>
    </comment>
    <comment ref="E49" authorId="0">
      <text>
        <r>
          <rPr>
            <sz val="10"/>
            <rFont val="Calibri"/>
            <family val="2"/>
          </rPr>
          <t xml:space="preserve">Order Unit is the unit each item unit type to order each product. For example, bottle, case, pound, lug, flat, etc.
</t>
        </r>
      </text>
    </comment>
    <comment ref="E57" authorId="0">
      <text>
        <r>
          <rPr>
            <sz val="10"/>
            <rFont val="Calibri"/>
            <family val="2"/>
          </rPr>
          <t xml:space="preserve">Order Unit is the unit each item unit type to order each product. For example, bottle, case, pound, lug, flat, etc.
</t>
        </r>
      </text>
    </comment>
    <comment ref="G5" authorId="0">
      <text>
        <r>
          <rPr>
            <sz val="10"/>
            <rFont val="Calibri"/>
            <family val="2"/>
          </rPr>
          <t xml:space="preserve">Order to Inventory is used to convert each product Order Unit price to the Inventory Unit price.
</t>
        </r>
        <r>
          <rPr>
            <b val="true"/>
            <sz val="10"/>
            <color rgb="FF000000"/>
            <rFont val="Tahoma"/>
            <family val="2"/>
            <charset val="1"/>
          </rPr>
          <t xml:space="preserve">
If the Order &amp; Inventory units are the same, this factor is 1.0. 
If there are 12 Inventory Units in the Order Unit, then this factor is 12.</t>
        </r>
      </text>
    </comment>
    <comment ref="G27"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G43"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G49"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G57"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H5" authorId="0">
      <text>
        <r>
          <rPr>
            <sz val="10"/>
            <rFont val="Calibri"/>
            <family val="2"/>
          </rPr>
          <t xml:space="preserve">Inventory unit is the unit type used when you count each item during the physical inventory. For example; bottle, can, case, jar, etc.</t>
        </r>
      </text>
    </comment>
    <comment ref="H27" authorId="0">
      <text>
        <r>
          <rPr>
            <sz val="10"/>
            <rFont val="Calibri"/>
            <family val="2"/>
          </rPr>
          <t xml:space="preserve">Inventory unit is the unit type used when you count each item during the physical inventory. For example; bottle, can, case, jar, etc.</t>
        </r>
      </text>
    </comment>
    <comment ref="H43" authorId="0">
      <text>
        <r>
          <rPr>
            <sz val="10"/>
            <rFont val="Calibri"/>
            <family val="2"/>
          </rPr>
          <t xml:space="preserve">Inventory unit is the unit type used when you count each item during the physical inventory. For example; bottle, can, case, jar, etc.</t>
        </r>
      </text>
    </comment>
    <comment ref="H49" authorId="0">
      <text>
        <r>
          <rPr>
            <sz val="10"/>
            <rFont val="Calibri"/>
            <family val="2"/>
          </rPr>
          <t xml:space="preserve">Inventory unit is the unit type used when you count each item during the physical inventory. For example; bottle, can, case, jar, etc.</t>
        </r>
      </text>
    </comment>
    <comment ref="H57" authorId="0">
      <text>
        <r>
          <rPr>
            <sz val="10"/>
            <rFont val="Calibri"/>
            <family val="2"/>
          </rPr>
          <t xml:space="preserve">Inventory unit is the unit type used when you count each item during the physical inventory. For example; bottle, can, case, jar, etc.</t>
        </r>
      </text>
    </comment>
    <comment ref="J5" authorId="0">
      <text>
        <r>
          <rPr>
            <sz val="10"/>
            <rFont val="Calibri"/>
            <family val="2"/>
          </rPr>
          <t xml:space="preserve">Enter the number of Inventory Units counted in all storage locations for each product.</t>
        </r>
      </text>
    </comment>
    <comment ref="J27" authorId="0">
      <text>
        <r>
          <rPr>
            <sz val="10"/>
            <rFont val="Calibri"/>
            <family val="2"/>
          </rPr>
          <t xml:space="preserve">Enter the number of Inventory Units counted in all storage locations for each product.</t>
        </r>
      </text>
    </comment>
    <comment ref="J43" authorId="0">
      <text>
        <r>
          <rPr>
            <sz val="10"/>
            <rFont val="Calibri"/>
            <family val="2"/>
          </rPr>
          <t xml:space="preserve">Enter the number of Inventory Units counted in all storage locations for each product.</t>
        </r>
      </text>
    </comment>
    <comment ref="J49" authorId="0">
      <text>
        <r>
          <rPr>
            <sz val="10"/>
            <rFont val="Calibri"/>
            <family val="2"/>
          </rPr>
          <t xml:space="preserve">Enter the number of Inventory Units counted in all storage locations for each product.</t>
        </r>
      </text>
    </comment>
    <comment ref="J57" authorId="0">
      <text>
        <r>
          <rPr>
            <sz val="10"/>
            <rFont val="Calibri"/>
            <family val="2"/>
          </rPr>
          <t xml:space="preserve">Enter the number of Inventory Units counted in all storage locations for each product.</t>
        </r>
      </text>
    </comment>
    <comment ref="K5" authorId="0">
      <text>
        <r>
          <rPr>
            <sz val="10"/>
            <rFont val="Calibri"/>
            <family val="2"/>
          </rPr>
          <t xml:space="preserve">Extension is "Inventory Unit" price times the "Count". 
</t>
        </r>
      </text>
    </comment>
    <comment ref="K27" authorId="0">
      <text>
        <r>
          <rPr>
            <sz val="10"/>
            <rFont val="Calibri"/>
            <family val="2"/>
          </rPr>
          <t xml:space="preserve">Extension is "Inventory Unit" price times the "Count". 
</t>
        </r>
      </text>
    </comment>
    <comment ref="K43" authorId="0">
      <text>
        <r>
          <rPr>
            <sz val="10"/>
            <rFont val="Calibri"/>
            <family val="2"/>
          </rPr>
          <t xml:space="preserve">Extension is "Inventory Unit" price times the "Count". 
</t>
        </r>
      </text>
    </comment>
    <comment ref="K49" authorId="0">
      <text>
        <r>
          <rPr>
            <sz val="10"/>
            <rFont val="Calibri"/>
            <family val="2"/>
          </rPr>
          <t xml:space="preserve">Extension is "Inventory Unit" price times the "Count". 
</t>
        </r>
      </text>
    </comment>
    <comment ref="K57" authorId="0">
      <text>
        <r>
          <rPr>
            <sz val="10"/>
            <rFont val="Calibri"/>
            <family val="2"/>
          </rPr>
          <t xml:space="preserve">Extension is "Inventory Unit" price times the "Count". 
</t>
        </r>
      </text>
    </comment>
  </commentList>
</comments>
</file>

<file path=xl/sharedStrings.xml><?xml version="1.0" encoding="utf-8"?>
<sst xmlns="http://schemas.openxmlformats.org/spreadsheetml/2006/main" count="930" uniqueCount="344">
  <si>
    <t xml:space="preserve">SW Grill</t>
  </si>
  <si>
    <t xml:space="preserve">Food Order Sheet</t>
  </si>
  <si>
    <t xml:space="preserve"> </t>
  </si>
  <si>
    <t xml:space="preserve">ITEM DESCRIPTIONS</t>
  </si>
  <si>
    <t xml:space="preserve">DISTRUBUTOR</t>
  </si>
  <si>
    <t xml:space="preserve">UNITS</t>
  </si>
  <si>
    <t xml:space="preserve">ON HAND</t>
  </si>
  <si>
    <t xml:space="preserve">PAR</t>
  </si>
  <si>
    <t xml:space="preserve">TO ORDER</t>
  </si>
  <si>
    <t xml:space="preserve">Lowest Price</t>
  </si>
  <si>
    <t xml:space="preserve">MEAT</t>
  </si>
  <si>
    <t xml:space="preserve">BJs</t>
  </si>
  <si>
    <t xml:space="preserve">Sams</t>
  </si>
  <si>
    <t xml:space="preserve">GFS</t>
  </si>
  <si>
    <t xml:space="preserve">Price</t>
  </si>
  <si>
    <t xml:space="preserve">Per Unit</t>
  </si>
  <si>
    <t xml:space="preserve">Turkey</t>
  </si>
  <si>
    <t xml:space="preserve">19.75lb</t>
  </si>
  <si>
    <t xml:space="preserve">1cs</t>
  </si>
  <si>
    <t xml:space="preserve">Ham</t>
  </si>
  <si>
    <t xml:space="preserve">17lb</t>
  </si>
  <si>
    <t xml:space="preserve">Salami</t>
  </si>
  <si>
    <t xml:space="preserve">Cappacola</t>
  </si>
  <si>
    <t xml:space="preserve">Cuban Meat</t>
  </si>
  <si>
    <t xml:space="preserve">20lb</t>
  </si>
  <si>
    <t xml:space="preserve">Flap Steak</t>
  </si>
  <si>
    <t xml:space="preserve">1-30lb</t>
  </si>
  <si>
    <t xml:space="preserve">Hot Dogs</t>
  </si>
  <si>
    <t xml:space="preserve">10lb</t>
  </si>
  <si>
    <t xml:space="preserve">2cs</t>
  </si>
  <si>
    <t xml:space="preserve">Shrimp 16/20</t>
  </si>
  <si>
    <t xml:space="preserve">Bacon</t>
  </si>
  <si>
    <t xml:space="preserve">15lb</t>
  </si>
  <si>
    <t xml:space="preserve">Burger patty</t>
  </si>
  <si>
    <t xml:space="preserve">3cs</t>
  </si>
  <si>
    <t xml:space="preserve">Slider meat</t>
  </si>
  <si>
    <t xml:space="preserve">Smash </t>
  </si>
  <si>
    <t xml:space="preserve">10.13lb</t>
  </si>
  <si>
    <t xml:space="preserve">PhillySteak</t>
  </si>
  <si>
    <t xml:space="preserve">1-10lb</t>
  </si>
  <si>
    <t xml:space="preserve">Sausage patties </t>
  </si>
  <si>
    <t xml:space="preserve">12lb</t>
  </si>
  <si>
    <t xml:space="preserve">Pork Belly </t>
  </si>
  <si>
    <t xml:space="preserve">16.5lb</t>
  </si>
  <si>
    <t xml:space="preserve">       GFS</t>
  </si>
  <si>
    <t xml:space="preserve">SNACKS</t>
  </si>
  <si>
    <t xml:space="preserve">Brownies</t>
  </si>
  <si>
    <t xml:space="preserve">Vickie's Sea Salt</t>
  </si>
  <si>
    <t xml:space="preserve">Vickie's Salt &amp; Vinegar</t>
  </si>
  <si>
    <t xml:space="preserve">Vickie's BBQ</t>
  </si>
  <si>
    <t xml:space="preserve">Vickie's Jalapeno</t>
  </si>
  <si>
    <t xml:space="preserve">Unsweet Tea</t>
  </si>
  <si>
    <t xml:space="preserve">Strawberry Dragonfruit</t>
  </si>
  <si>
    <t xml:space="preserve">Sweet Tea</t>
  </si>
  <si>
    <t xml:space="preserve">Lemonade</t>
  </si>
  <si>
    <t xml:space="preserve">POULTRY</t>
  </si>
  <si>
    <t xml:space="preserve">UNIT</t>
  </si>
  <si>
    <t xml:space="preserve">Chicken Wings</t>
  </si>
  <si>
    <t xml:space="preserve">40lb</t>
  </si>
  <si>
    <t xml:space="preserve">Chicken Breast</t>
  </si>
  <si>
    <t xml:space="preserve">6cs</t>
  </si>
  <si>
    <t xml:space="preserve">Chicken Tenderloins</t>
  </si>
  <si>
    <t xml:space="preserve">Chicken Fritters</t>
  </si>
  <si>
    <t xml:space="preserve">Eggs </t>
  </si>
  <si>
    <t xml:space="preserve">25.30lb</t>
  </si>
  <si>
    <t xml:space="preserve">Coconut shrimp </t>
  </si>
  <si>
    <t xml:space="preserve">Grouper </t>
  </si>
  <si>
    <t xml:space="preserve">PRODUCE</t>
  </si>
  <si>
    <t xml:space="preserve">Lettuce</t>
  </si>
  <si>
    <t xml:space="preserve">30lb</t>
  </si>
  <si>
    <t xml:space="preserve">Red Onion</t>
  </si>
  <si>
    <t xml:space="preserve">5lb</t>
  </si>
  <si>
    <t xml:space="preserve">2bags</t>
  </si>
  <si>
    <t xml:space="preserve">Tomatoes</t>
  </si>
  <si>
    <t xml:space="preserve">25lb</t>
  </si>
  <si>
    <t xml:space="preserve">Cilantro</t>
  </si>
  <si>
    <t xml:space="preserve">1lb</t>
  </si>
  <si>
    <t xml:space="preserve">White Onion</t>
  </si>
  <si>
    <t xml:space="preserve">Spring mix</t>
  </si>
  <si>
    <t xml:space="preserve">3lb</t>
  </si>
  <si>
    <t xml:space="preserve">Avocado</t>
  </si>
  <si>
    <t xml:space="preserve">60unit</t>
  </si>
  <si>
    <t xml:space="preserve">Jalapeno</t>
  </si>
  <si>
    <t xml:space="preserve">Garlic Cloves</t>
  </si>
  <si>
    <t xml:space="preserve">1jar</t>
  </si>
  <si>
    <t xml:space="preserve">cucumber </t>
  </si>
  <si>
    <t xml:space="preserve">2units</t>
  </si>
  <si>
    <t xml:space="preserve">3bags</t>
  </si>
  <si>
    <t xml:space="preserve">Sun - Dried tomatoes </t>
  </si>
  <si>
    <t xml:space="preserve">1bag</t>
  </si>
  <si>
    <t xml:space="preserve">Celery</t>
  </si>
  <si>
    <t xml:space="preserve">1unit</t>
  </si>
  <si>
    <t xml:space="preserve">1nit</t>
  </si>
  <si>
    <t xml:space="preserve">BJS</t>
  </si>
  <si>
    <t xml:space="preserve">Lime </t>
  </si>
  <si>
    <t xml:space="preserve">Watermelon</t>
  </si>
  <si>
    <t xml:space="preserve">GFS/BJS</t>
  </si>
  <si>
    <t xml:space="preserve">Cole Slaw</t>
  </si>
  <si>
    <t xml:space="preserve">6bags</t>
  </si>
  <si>
    <t xml:space="preserve">Bell Pepper</t>
  </si>
  <si>
    <t xml:space="preserve">4/bag</t>
  </si>
  <si>
    <t xml:space="preserve">Mix Veggies </t>
  </si>
  <si>
    <t xml:space="preserve">24lb</t>
  </si>
  <si>
    <t xml:space="preserve">Cherry Tomatoes </t>
  </si>
  <si>
    <t xml:space="preserve">Blueberry </t>
  </si>
  <si>
    <t xml:space="preserve">3.5lb</t>
  </si>
  <si>
    <t xml:space="preserve">Lemon </t>
  </si>
  <si>
    <t xml:space="preserve">Broccoli </t>
  </si>
  <si>
    <t xml:space="preserve">Potatoes </t>
  </si>
  <si>
    <t xml:space="preserve">Mango </t>
  </si>
  <si>
    <t xml:space="preserve">Spinach</t>
  </si>
  <si>
    <t xml:space="preserve">DAIRY</t>
  </si>
  <si>
    <t xml:space="preserve">Cheddar</t>
  </si>
  <si>
    <t xml:space="preserve">9lb</t>
  </si>
  <si>
    <t xml:space="preserve">2cas</t>
  </si>
  <si>
    <t xml:space="preserve">Swiss</t>
  </si>
  <si>
    <t xml:space="preserve">Provolone</t>
  </si>
  <si>
    <t xml:space="preserve">Feta Cheese</t>
  </si>
  <si>
    <t xml:space="preserve">Shredded Mozzarella Cheese</t>
  </si>
  <si>
    <t xml:space="preserve">Blue Cheese Crumble</t>
  </si>
  <si>
    <t xml:space="preserve">Heavy Cream</t>
  </si>
  <si>
    <t xml:space="preserve">1quarter</t>
  </si>
  <si>
    <t xml:space="preserve">4quarter</t>
  </si>
  <si>
    <t xml:space="preserve">bjS</t>
  </si>
  <si>
    <t xml:space="preserve">Mexican Blend Cheese</t>
  </si>
  <si>
    <t xml:space="preserve">Parmesan Cheese</t>
  </si>
  <si>
    <t xml:space="preserve">Diced potatoes </t>
  </si>
  <si>
    <t xml:space="preserve">Hash Brown </t>
  </si>
  <si>
    <t xml:space="preserve">Passion Fruit </t>
  </si>
  <si>
    <t xml:space="preserve">10.5lb</t>
  </si>
  <si>
    <t xml:space="preserve">Alfredo sauce </t>
  </si>
  <si>
    <t xml:space="preserve">16lb</t>
  </si>
  <si>
    <t xml:space="preserve">Ice Cream</t>
  </si>
  <si>
    <t xml:space="preserve">3glons</t>
  </si>
  <si>
    <t xml:space="preserve">1galon</t>
  </si>
  <si>
    <t xml:space="preserve">Sour Cream</t>
  </si>
  <si>
    <t xml:space="preserve">4jugs</t>
  </si>
  <si>
    <t xml:space="preserve"> GFS</t>
  </si>
  <si>
    <t xml:space="preserve">BAKERY</t>
  </si>
  <si>
    <t xml:space="preserve">Wheat Bread</t>
  </si>
  <si>
    <t xml:space="preserve">High Crown</t>
  </si>
  <si>
    <t xml:space="preserve">      GFS </t>
  </si>
  <si>
    <t xml:space="preserve">Hot Dog Buns</t>
  </si>
  <si>
    <t xml:space="preserve">spinach wrap</t>
  </si>
  <si>
    <t xml:space="preserve">Bagels</t>
  </si>
  <si>
    <t xml:space="preserve">Quesadilla Wraps</t>
  </si>
  <si>
    <t xml:space="preserve">Brioche Bun</t>
  </si>
  <si>
    <t xml:space="preserve">Skin eggroll </t>
  </si>
  <si>
    <t xml:space="preserve">Sourdogh bread </t>
  </si>
  <si>
    <t xml:space="preserve">French bread </t>
  </si>
  <si>
    <t xml:space="preserve">Tortilla Flour 4.5" Tacos </t>
  </si>
  <si>
    <t xml:space="preserve">GFS </t>
  </si>
  <si>
    <t xml:space="preserve">English muffing </t>
  </si>
  <si>
    <t xml:space="preserve">Mini brioche bun </t>
  </si>
  <si>
    <t xml:space="preserve">GROCERY/DRY GOODS</t>
  </si>
  <si>
    <t xml:space="preserve">Beef base </t>
  </si>
  <si>
    <t xml:space="preserve">Film roll </t>
  </si>
  <si>
    <t xml:space="preserve">1fill</t>
  </si>
  <si>
    <t xml:space="preserve">Vanilla Imitation </t>
  </si>
  <si>
    <t xml:space="preserve">1bottle</t>
  </si>
  <si>
    <t xml:space="preserve">Ketchup #10 Jug</t>
  </si>
  <si>
    <t xml:space="preserve">Mayo 1gal</t>
  </si>
  <si>
    <t xml:space="preserve">Syrup </t>
  </si>
  <si>
    <t xml:space="preserve">       GFS </t>
  </si>
  <si>
    <t xml:space="preserve">Garlic parmesan </t>
  </si>
  <si>
    <t xml:space="preserve">5jr</t>
  </si>
  <si>
    <t xml:space="preserve">Dijon Mustard </t>
  </si>
  <si>
    <t xml:space="preserve">Yellow Mustard</t>
  </si>
  <si>
    <t xml:space="preserve">Honey Mustard</t>
  </si>
  <si>
    <t xml:space="preserve">1gallon</t>
  </si>
  <si>
    <t xml:space="preserve">Olive Oil</t>
  </si>
  <si>
    <t xml:space="preserve">Sweet chili </t>
  </si>
  <si>
    <t xml:space="preserve">BBQ Sauce</t>
  </si>
  <si>
    <t xml:space="preserve">Cumin</t>
  </si>
  <si>
    <t xml:space="preserve">Ranch Powder</t>
  </si>
  <si>
    <t xml:space="preserve">Franks Hot Sauce</t>
  </si>
  <si>
    <t xml:space="preserve">Chipotle Pepper</t>
  </si>
  <si>
    <t xml:space="preserve">Cajun Seasoning</t>
  </si>
  <si>
    <t xml:space="preserve">1each</t>
  </si>
  <si>
    <t xml:space="preserve">Red Wine Vinegar</t>
  </si>
  <si>
    <t xml:space="preserve">Fettuccine Pasta </t>
  </si>
  <si>
    <t xml:space="preserve">Granulated Sugar</t>
  </si>
  <si>
    <t xml:space="preserve">Brown Sugar</t>
  </si>
  <si>
    <t xml:space="preserve">Soy Sauce</t>
  </si>
  <si>
    <t xml:space="preserve">Flour</t>
  </si>
  <si>
    <t xml:space="preserve">Lemon Pepper Seasoning</t>
  </si>
  <si>
    <t xml:space="preserve">Paprika</t>
  </si>
  <si>
    <t xml:space="preserve">3each</t>
  </si>
  <si>
    <t xml:space="preserve">Cayenne</t>
  </si>
  <si>
    <t xml:space="preserve">Ground Black Pepper</t>
  </si>
  <si>
    <t xml:space="preserve">Worstershire Sauce</t>
  </si>
  <si>
    <t xml:space="preserve">Kosher Salt</t>
  </si>
  <si>
    <t xml:space="preserve">Granulated Garlic</t>
  </si>
  <si>
    <t xml:space="preserve">Blue Cheese Powder</t>
  </si>
  <si>
    <t xml:space="preserve">Teriyaki Sauce</t>
  </si>
  <si>
    <t xml:space="preserve">pickles </t>
  </si>
  <si>
    <t xml:space="preserve">Kalamata Olives </t>
  </si>
  <si>
    <t xml:space="preserve">1jr</t>
  </si>
  <si>
    <t xml:space="preserve">Dry Oregano</t>
  </si>
  <si>
    <t xml:space="preserve">Balsamic Dressing</t>
  </si>
  <si>
    <t xml:space="preserve">Caesar Dressing</t>
  </si>
  <si>
    <t xml:space="preserve">French Fries</t>
  </si>
  <si>
    <t xml:space="preserve">4cs</t>
  </si>
  <si>
    <t xml:space="preserve">XLG Gloves</t>
  </si>
  <si>
    <t xml:space="preserve">Aluminum Foil Sheets 17x10</t>
  </si>
  <si>
    <t xml:space="preserve">White Wine Vinegar</t>
  </si>
  <si>
    <t xml:space="preserve">Penne Pasta </t>
  </si>
  <si>
    <t xml:space="preserve">Label Dissolvable </t>
  </si>
  <si>
    <t xml:space="preserve">Hairnets</t>
  </si>
  <si>
    <t xml:space="preserve">1box</t>
  </si>
  <si>
    <t xml:space="preserve">Liquid Butter </t>
  </si>
  <si>
    <t xml:space="preserve">Handy Wacks 12in x 10 3/4 in </t>
  </si>
  <si>
    <t xml:space="preserve">Handy Wacks 8in x 10 3/4 in </t>
  </si>
  <si>
    <t xml:space="preserve">variety chips </t>
  </si>
  <si>
    <t xml:space="preserve">Honey  </t>
  </si>
  <si>
    <t xml:space="preserve">3jar</t>
  </si>
  <si>
    <t xml:space="preserve">Frying shortening </t>
  </si>
  <si>
    <t xml:space="preserve">3oils</t>
  </si>
  <si>
    <t xml:space="preserve">      GFS</t>
  </si>
  <si>
    <t xml:space="preserve">Lemon Juice </t>
  </si>
  <si>
    <t xml:space="preserve">Fish fry seasoning </t>
  </si>
  <si>
    <t xml:space="preserve">     GFS</t>
  </si>
  <si>
    <t xml:space="preserve">Pancake mix </t>
  </si>
  <si>
    <t xml:space="preserve">bags portion </t>
  </si>
  <si>
    <t xml:space="preserve">PAPER  AND CONSUMABLES</t>
  </si>
  <si>
    <t xml:space="preserve">Clamshells</t>
  </si>
  <si>
    <t xml:space="preserve">Coffee</t>
  </si>
  <si>
    <t xml:space="preserve">Plastic Bags</t>
  </si>
  <si>
    <t xml:space="preserve">Bamboo</t>
  </si>
  <si>
    <t xml:space="preserve">To Go Box 8x8x5</t>
  </si>
  <si>
    <t xml:space="preserve">16 oz cups </t>
  </si>
  <si>
    <t xml:space="preserve">16 oz lids </t>
  </si>
  <si>
    <t xml:space="preserve">Napkins Silverware</t>
  </si>
  <si>
    <t xml:space="preserve">Napkins Dispenser</t>
  </si>
  <si>
    <t xml:space="preserve">Crystal Dry Rinse aid </t>
  </si>
  <si>
    <t xml:space="preserve">Stainless Steel polish</t>
  </si>
  <si>
    <t xml:space="preserve">Toilet Paper</t>
  </si>
  <si>
    <t xml:space="preserve">Paper Towels</t>
  </si>
  <si>
    <t xml:space="preserve">Sponges scrub </t>
  </si>
  <si>
    <t xml:space="preserve">Pot and Pan detergent </t>
  </si>
  <si>
    <t xml:space="preserve">Trash Bags</t>
  </si>
  <si>
    <t xml:space="preserve">Dishwasher Detergent powdered </t>
  </si>
  <si>
    <t xml:space="preserve">Sanitizer</t>
  </si>
  <si>
    <t xml:space="preserve">Bleach</t>
  </si>
  <si>
    <t xml:space="preserve">Degrease  </t>
  </si>
  <si>
    <t xml:space="preserve">Mop Head </t>
  </si>
  <si>
    <t xml:space="preserve">5.5oz clear lids </t>
  </si>
  <si>
    <t xml:space="preserve">5.5oz Portion Cups</t>
  </si>
  <si>
    <t xml:space="preserve">Brick Griddle </t>
  </si>
  <si>
    <t xml:space="preserve">Hand Soap</t>
  </si>
  <si>
    <t xml:space="preserve">Water</t>
  </si>
  <si>
    <t xml:space="preserve">Bottled Coke</t>
  </si>
  <si>
    <t xml:space="preserve">Bottled Diet Coke</t>
  </si>
  <si>
    <t xml:space="preserve">Bottled Coke Zero</t>
  </si>
  <si>
    <t xml:space="preserve">Bottled Sprite</t>
  </si>
  <si>
    <t xml:space="preserve">BIB- Coke</t>
  </si>
  <si>
    <t xml:space="preserve">1bib</t>
  </si>
  <si>
    <t xml:space="preserve">BIB- Diet Coke</t>
  </si>
  <si>
    <t xml:space="preserve">BIB- Sprite</t>
  </si>
  <si>
    <t xml:space="preserve">BIB- Ginger Ale</t>
  </si>
  <si>
    <t xml:space="preserve">BIB- Tonic Water</t>
  </si>
  <si>
    <t xml:space="preserve">Canned Diet Coke</t>
  </si>
  <si>
    <t xml:space="preserve">Canned Coke</t>
  </si>
  <si>
    <t xml:space="preserve">Canned Sprite</t>
  </si>
  <si>
    <t xml:space="preserve">Canned Club Soda</t>
  </si>
  <si>
    <t xml:space="preserve">Small Straws</t>
  </si>
  <si>
    <t xml:space="preserve">Beverage Order Sheet</t>
  </si>
  <si>
    <t xml:space="preserve">ORDER UNIT</t>
  </si>
  <si>
    <t xml:space="preserve">ORDER TO INV</t>
  </si>
  <si>
    <t xml:space="preserve">INVENTORY UNIT</t>
  </si>
  <si>
    <t xml:space="preserve">COUNT</t>
  </si>
  <si>
    <t xml:space="preserve">EXTENSION</t>
  </si>
  <si>
    <t xml:space="preserve">TOTALS</t>
  </si>
  <si>
    <t xml:space="preserve">PRICE</t>
  </si>
  <si>
    <t xml:space="preserve">LIQUOR</t>
  </si>
  <si>
    <t xml:space="preserve">Hornitos</t>
  </si>
  <si>
    <t xml:space="preserve">Case</t>
  </si>
  <si>
    <t xml:space="preserve">bottle</t>
  </si>
  <si>
    <t xml:space="preserve">Bacardi Bahama Mama</t>
  </si>
  <si>
    <t xml:space="preserve">Bacardi Mojito</t>
  </si>
  <si>
    <t xml:space="preserve">Bacardi Rum Punch</t>
  </si>
  <si>
    <t xml:space="preserve">Bacardi Pina Colada</t>
  </si>
  <si>
    <t xml:space="preserve">Cazadores Margarita</t>
  </si>
  <si>
    <t xml:space="preserve">Cazadores Paloma</t>
  </si>
  <si>
    <t xml:space="preserve">Ketel One Spritzer</t>
  </si>
  <si>
    <t xml:space="preserve">Jim Beam Highball</t>
  </si>
  <si>
    <t xml:space="preserve">Caribe Mule</t>
  </si>
  <si>
    <t xml:space="preserve">Old Fashioned Mule</t>
  </si>
  <si>
    <t xml:space="preserve">Nutrl Pineapple</t>
  </si>
  <si>
    <t xml:space="preserve">Nutrl Watermelon</t>
  </si>
  <si>
    <t xml:space="preserve">Bud Black Cherry Seltzer</t>
  </si>
  <si>
    <t xml:space="preserve">BOTTLE BEER</t>
  </si>
  <si>
    <t xml:space="preserve">Miller Lite</t>
  </si>
  <si>
    <t xml:space="preserve">Coors Lite</t>
  </si>
  <si>
    <t xml:space="preserve">Mich Ultra</t>
  </si>
  <si>
    <t xml:space="preserve">Bud Light</t>
  </si>
  <si>
    <t xml:space="preserve">Budweiser</t>
  </si>
  <si>
    <t xml:space="preserve">Corona</t>
  </si>
  <si>
    <t xml:space="preserve">Modelo</t>
  </si>
  <si>
    <t xml:space="preserve">Heineken</t>
  </si>
  <si>
    <t xml:space="preserve">Stella</t>
  </si>
  <si>
    <t xml:space="preserve">Yeungling</t>
  </si>
  <si>
    <t xml:space="preserve">Jai Alai</t>
  </si>
  <si>
    <t xml:space="preserve">DRAFT BEER</t>
  </si>
  <si>
    <t xml:space="preserve">Keg</t>
  </si>
  <si>
    <t xml:space="preserve">keg</t>
  </si>
  <si>
    <t xml:space="preserve">Yuengling</t>
  </si>
  <si>
    <t xml:space="preserve">WINE</t>
  </si>
  <si>
    <t xml:space="preserve">Cabernet</t>
  </si>
  <si>
    <t xml:space="preserve">Chardonny</t>
  </si>
  <si>
    <t xml:space="preserve">Merlot</t>
  </si>
  <si>
    <t xml:space="preserve">Stella Peach</t>
  </si>
  <si>
    <t xml:space="preserve">NAB</t>
  </si>
  <si>
    <t xml:space="preserve">Perrier</t>
  </si>
  <si>
    <t xml:space="preserve">Fiji</t>
  </si>
  <si>
    <t xml:space="preserve">Powerade Red</t>
  </si>
  <si>
    <t xml:space="preserve">Powerade Blue</t>
  </si>
  <si>
    <t xml:space="preserve">Powerade Purple</t>
  </si>
  <si>
    <t xml:space="preserve">Powerade Orange</t>
  </si>
  <si>
    <t xml:space="preserve">Powerade Yellow</t>
  </si>
  <si>
    <t xml:space="preserve">Powerade SF Red</t>
  </si>
  <si>
    <t xml:space="preserve">Powerade SF Blue</t>
  </si>
  <si>
    <t xml:space="preserve">Powerade SF Purple</t>
  </si>
  <si>
    <t xml:space="preserve">Powerade SF Orage</t>
  </si>
  <si>
    <t xml:space="preserve">Powerade SF Yellow</t>
  </si>
  <si>
    <t xml:space="preserve">Bottle Unsweet Tea</t>
  </si>
  <si>
    <t xml:space="preserve">Bottle Sweet Tea</t>
  </si>
  <si>
    <t xml:space="preserve">Bottle Coke</t>
  </si>
  <si>
    <t xml:space="preserve">Bottle Diet Coke</t>
  </si>
  <si>
    <t xml:space="preserve">Bottle Coke Zero</t>
  </si>
  <si>
    <t xml:space="preserve">Bottle Sprite</t>
  </si>
  <si>
    <t xml:space="preserve">BIB Coke</t>
  </si>
  <si>
    <t xml:space="preserve">Each</t>
  </si>
  <si>
    <t xml:space="preserve">BIB Diet Coke</t>
  </si>
  <si>
    <t xml:space="preserve">BIB Coke Zero</t>
  </si>
  <si>
    <t xml:space="preserve">BIB Sprite</t>
  </si>
  <si>
    <t xml:space="preserve">BIB Ginger Ale</t>
  </si>
  <si>
    <t xml:space="preserve">BIB Powerade Blue</t>
  </si>
  <si>
    <t xml:space="preserve">Monster Black</t>
  </si>
  <si>
    <t xml:space="preserve">Monster White</t>
  </si>
  <si>
    <t xml:space="preserve">Monster Orange</t>
  </si>
  <si>
    <t xml:space="preserve">Monster Blue</t>
  </si>
  <si>
    <t xml:space="preserve">Clesius Kiwi</t>
  </si>
  <si>
    <t xml:space="preserve">Clesius Orange</t>
  </si>
</sst>
</file>

<file path=xl/styles.xml><?xml version="1.0" encoding="utf-8"?>
<styleSheet xmlns="http://schemas.openxmlformats.org/spreadsheetml/2006/main">
  <numFmts count="7">
    <numFmt numFmtId="164" formatCode="General"/>
    <numFmt numFmtId="165" formatCode="_(\$* #,##0.00_);_(\$* \(#,##0.00\);_(\$* \-??_);_(@_)"/>
    <numFmt numFmtId="166" formatCode="#,##0.00_);\(#,##0.00\)"/>
    <numFmt numFmtId="167" formatCode="m/d;@"/>
    <numFmt numFmtId="168" formatCode="#,##0_);\(#,##0\)"/>
    <numFmt numFmtId="169" formatCode="0.00"/>
    <numFmt numFmtId="170" formatCode="#,##0.0_);\(#,##0.0\)"/>
  </numFmts>
  <fonts count="15">
    <font>
      <sz val="10"/>
      <name val="Arial"/>
      <family val="0"/>
      <charset val="1"/>
    </font>
    <font>
      <sz val="10"/>
      <name val="Arial"/>
      <family val="0"/>
    </font>
    <font>
      <sz val="10"/>
      <name val="Arial"/>
      <family val="0"/>
    </font>
    <font>
      <sz val="10"/>
      <name val="Arial"/>
      <family val="0"/>
    </font>
    <font>
      <b val="true"/>
      <sz val="10"/>
      <name val="Arial"/>
      <family val="2"/>
      <charset val="1"/>
    </font>
    <font>
      <b val="true"/>
      <sz val="18"/>
      <color rgb="FFFF0000"/>
      <name val="Arial"/>
      <family val="2"/>
      <charset val="1"/>
    </font>
    <font>
      <b val="true"/>
      <sz val="10"/>
      <color rgb="FFFF0000"/>
      <name val="Arial"/>
      <family val="2"/>
      <charset val="1"/>
    </font>
    <font>
      <sz val="8"/>
      <color rgb="FF000000"/>
      <name val="Times New Roman"/>
      <family val="1"/>
      <charset val="1"/>
    </font>
    <font>
      <b val="true"/>
      <sz val="8"/>
      <name val="Arial"/>
      <family val="2"/>
      <charset val="1"/>
    </font>
    <font>
      <b val="true"/>
      <sz val="14"/>
      <name val="Arial"/>
      <family val="2"/>
      <charset val="1"/>
    </font>
    <font>
      <b val="true"/>
      <sz val="10"/>
      <color theme="0"/>
      <name val="Arial"/>
      <family val="2"/>
      <charset val="1"/>
    </font>
    <font>
      <b val="true"/>
      <sz val="14"/>
      <color theme="0"/>
      <name val="Arial"/>
      <family val="2"/>
      <charset val="1"/>
    </font>
    <font>
      <sz val="10"/>
      <name val="Arial"/>
      <family val="2"/>
      <charset val="1"/>
    </font>
    <font>
      <sz val="10"/>
      <name val="Calibri"/>
      <family val="2"/>
    </font>
    <font>
      <b val="true"/>
      <sz val="10"/>
      <color rgb="FF000000"/>
      <name val="Tahoma"/>
      <family val="2"/>
      <charset val="1"/>
    </font>
  </fonts>
  <fills count="7">
    <fill>
      <patternFill patternType="none"/>
    </fill>
    <fill>
      <patternFill patternType="gray125"/>
    </fill>
    <fill>
      <patternFill patternType="solid">
        <fgColor rgb="FFFFFFFF"/>
        <bgColor rgb="FFFFFFCC"/>
      </patternFill>
    </fill>
    <fill>
      <patternFill patternType="solid">
        <fgColor rgb="FFCADCEE"/>
        <bgColor rgb="FFB4C9E2"/>
      </patternFill>
    </fill>
    <fill>
      <patternFill patternType="solid">
        <fgColor rgb="FF376091"/>
        <bgColor rgb="FF333399"/>
      </patternFill>
    </fill>
    <fill>
      <patternFill patternType="solid">
        <fgColor rgb="FFB4C9E2"/>
        <bgColor rgb="FF99CCFF"/>
      </patternFill>
    </fill>
    <fill>
      <patternFill patternType="solid">
        <fgColor rgb="FFCCFFCC"/>
        <bgColor rgb="FFCCFFFF"/>
      </patternFill>
    </fill>
  </fills>
  <borders count="43">
    <border diagonalUp="false" diagonalDown="false">
      <left/>
      <right/>
      <top/>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top style="medium"/>
      <bottom style="thin"/>
      <diagonal/>
    </border>
    <border diagonalUp="false" diagonalDown="false">
      <left style="thin"/>
      <right style="thin"/>
      <top style="medium"/>
      <bottom/>
      <diagonal/>
    </border>
    <border diagonalUp="false" diagonalDown="false">
      <left style="medium"/>
      <right/>
      <top/>
      <botto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right style="medium"/>
      <top style="medium"/>
      <botto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top/>
      <bottom style="thin"/>
      <diagonal/>
    </border>
    <border diagonalUp="false" diagonalDown="false">
      <left style="thin"/>
      <right style="thin"/>
      <top style="thin"/>
      <bottom style="thin"/>
      <diagonal/>
    </border>
    <border diagonalUp="false" diagonalDown="false">
      <left style="medium"/>
      <right/>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thin"/>
      <right style="medium"/>
      <top style="medium"/>
      <bottom style="medium"/>
      <diagonal/>
    </border>
    <border diagonalUp="false" diagonalDown="false">
      <left style="thin"/>
      <right/>
      <top/>
      <botto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bottom style="thin"/>
      <diagonal/>
    </border>
    <border diagonalUp="false" diagonalDown="false">
      <left style="medium"/>
      <right style="medium"/>
      <top/>
      <bottom style="medium"/>
      <diagonal/>
    </border>
    <border diagonalUp="false" diagonalDown="false">
      <left style="medium"/>
      <right style="medium"/>
      <top/>
      <bottom/>
      <diagonal/>
    </border>
    <border diagonalUp="false" diagonalDown="false">
      <left/>
      <right/>
      <top style="thin"/>
      <bottom/>
      <diagonal/>
    </border>
    <border diagonalUp="false" diagonalDown="false">
      <left/>
      <right style="thin"/>
      <top style="thin"/>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bottom/>
      <diagonal/>
    </border>
    <border diagonalUp="false" diagonalDown="false">
      <left style="thin"/>
      <right style="medium"/>
      <top style="thin"/>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medium"/>
      <right/>
      <top/>
      <bottom style="medium"/>
      <diagonal/>
    </border>
    <border diagonalUp="false" diagonalDown="false">
      <left/>
      <right style="medium"/>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4" fillId="2" borderId="0" xfId="0" applyFont="true" applyBorder="false" applyAlignment="true" applyProtection="false">
      <alignment horizontal="center" vertical="bottom" textRotation="0" wrapText="false" indent="0" shrinkToFit="false"/>
      <protection locked="true" hidden="false"/>
    </xf>
    <xf numFmtId="167"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6" fontId="4" fillId="3" borderId="3" xfId="0" applyFont="true" applyBorder="true" applyAlignment="true" applyProtection="false">
      <alignment horizontal="center" vertical="bottom" textRotation="0" wrapText="false" indent="0" shrinkToFit="false"/>
      <protection locked="true" hidden="false"/>
    </xf>
    <xf numFmtId="165" fontId="10" fillId="4" borderId="4"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5" fontId="4" fillId="0" borderId="6" xfId="0" applyFont="true" applyBorder="true" applyAlignment="true" applyProtection="false">
      <alignment horizontal="center" vertical="center" textRotation="0" wrapText="true" indent="0" shrinkToFit="false"/>
      <protection locked="true" hidden="false"/>
    </xf>
    <xf numFmtId="166" fontId="4" fillId="2" borderId="5" xfId="0" applyFont="true" applyBorder="true" applyAlignment="true" applyProtection="false">
      <alignment horizontal="center" vertical="center" textRotation="0" wrapText="true" indent="0" shrinkToFit="false"/>
      <protection locked="true" hidden="false"/>
    </xf>
    <xf numFmtId="164" fontId="11" fillId="4" borderId="7" xfId="0" applyFont="true" applyBorder="true" applyAlignment="true" applyProtection="false">
      <alignment horizontal="left" vertical="bottom" textRotation="0" wrapText="false" indent="0" shrinkToFit="false"/>
      <protection locked="true" hidden="false"/>
    </xf>
    <xf numFmtId="164" fontId="11" fillId="4" borderId="8" xfId="0" applyFont="true" applyBorder="true" applyAlignment="true" applyProtection="false">
      <alignment horizontal="left" vertical="bottom" textRotation="0" wrapText="false" indent="0" shrinkToFit="false"/>
      <protection locked="true" hidden="false"/>
    </xf>
    <xf numFmtId="164" fontId="4" fillId="5" borderId="7" xfId="0" applyFont="true" applyBorder="true" applyAlignment="true" applyProtection="false">
      <alignment horizontal="center" vertical="center" textRotation="0" wrapText="true" indent="0" shrinkToFit="false"/>
      <protection locked="true" hidden="false"/>
    </xf>
    <xf numFmtId="164" fontId="4" fillId="5" borderId="9" xfId="0" applyFont="true" applyBorder="true" applyAlignment="true" applyProtection="false">
      <alignment horizontal="center" vertical="center" textRotation="0" wrapText="true" indent="0" shrinkToFit="false"/>
      <protection locked="true" hidden="false"/>
    </xf>
    <xf numFmtId="165" fontId="4" fillId="5" borderId="9" xfId="0" applyFont="true" applyBorder="true" applyAlignment="true" applyProtection="false">
      <alignment horizontal="center" vertical="center" textRotation="0" wrapText="true" indent="0" shrinkToFit="false"/>
      <protection locked="true" hidden="false"/>
    </xf>
    <xf numFmtId="166" fontId="4" fillId="5" borderId="9" xfId="0" applyFont="true" applyBorder="true" applyAlignment="true" applyProtection="false">
      <alignment horizontal="center" vertical="center" textRotation="0" wrapText="true" indent="0" shrinkToFit="false"/>
      <protection locked="true" hidden="false"/>
    </xf>
    <xf numFmtId="165" fontId="4" fillId="5" borderId="1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12" fillId="2" borderId="12" xfId="0" applyFont="true" applyBorder="true" applyAlignment="false" applyProtection="false">
      <alignment horizontal="general" vertical="bottom" textRotation="0" wrapText="false" indent="0" shrinkToFit="false"/>
      <protection locked="true" hidden="false"/>
    </xf>
    <xf numFmtId="164" fontId="12" fillId="2" borderId="13" xfId="0" applyFont="true" applyBorder="true" applyAlignment="true" applyProtection="false">
      <alignment horizontal="center" vertical="bottom" textRotation="0" wrapText="false" indent="0" shrinkToFit="false"/>
      <protection locked="true" hidden="false"/>
    </xf>
    <xf numFmtId="164" fontId="12" fillId="2" borderId="12" xfId="0" applyFont="true" applyBorder="true" applyAlignment="true" applyProtection="false">
      <alignment horizontal="center" vertical="bottom" textRotation="0" wrapText="false" indent="0" shrinkToFit="false"/>
      <protection locked="true" hidden="false"/>
    </xf>
    <xf numFmtId="168" fontId="12" fillId="2" borderId="14" xfId="0" applyFont="true" applyBorder="true" applyAlignment="true" applyProtection="false">
      <alignment horizontal="center" vertical="bottom" textRotation="0" wrapText="false" indent="0" shrinkToFit="false"/>
      <protection locked="true" hidden="false"/>
    </xf>
    <xf numFmtId="164" fontId="12" fillId="2" borderId="15" xfId="0" applyFont="true" applyBorder="true" applyAlignment="true" applyProtection="false">
      <alignment horizontal="center" vertical="bottom" textRotation="0" wrapText="false" indent="0" shrinkToFit="false"/>
      <protection locked="true" hidden="false"/>
    </xf>
    <xf numFmtId="165" fontId="4" fillId="0" borderId="16" xfId="0" applyFont="true" applyBorder="true" applyAlignment="true" applyProtection="false">
      <alignment horizontal="center" vertical="bottom" textRotation="0" wrapText="true" indent="0" shrinkToFit="false"/>
      <protection locked="true" hidden="false"/>
    </xf>
    <xf numFmtId="164" fontId="4" fillId="2" borderId="16" xfId="0" applyFont="true" applyBorder="true" applyAlignment="true" applyProtection="false">
      <alignment horizontal="general" vertical="bottom" textRotation="0" wrapText="true" indent="0" shrinkToFit="false"/>
      <protection locked="true" hidden="false"/>
    </xf>
    <xf numFmtId="169" fontId="4" fillId="2" borderId="0" xfId="0" applyFont="true" applyBorder="false" applyAlignment="true" applyProtection="false">
      <alignment horizontal="center" vertical="bottom" textRotation="0" wrapText="true" indent="0" shrinkToFit="false"/>
      <protection locked="true" hidden="false"/>
    </xf>
    <xf numFmtId="164" fontId="12" fillId="2" borderId="17" xfId="0" applyFont="true" applyBorder="true" applyAlignment="true" applyProtection="false">
      <alignment horizontal="center" vertical="bottom" textRotation="0" wrapText="false" indent="0" shrinkToFit="false"/>
      <protection locked="true" hidden="false"/>
    </xf>
    <xf numFmtId="164" fontId="12" fillId="0" borderId="11" xfId="0" applyFont="true" applyBorder="true" applyAlignment="false" applyProtection="false">
      <alignment horizontal="general" vertical="bottom" textRotation="0" wrapText="false" indent="0" shrinkToFit="false"/>
      <protection locked="true" hidden="false"/>
    </xf>
    <xf numFmtId="164" fontId="12" fillId="2" borderId="11" xfId="0" applyFont="true" applyBorder="true" applyAlignment="false" applyProtection="false">
      <alignment horizontal="general" vertical="bottom" textRotation="0" wrapText="false" indent="0" shrinkToFit="false"/>
      <protection locked="true" hidden="false"/>
    </xf>
    <xf numFmtId="164" fontId="12" fillId="2" borderId="18" xfId="0" applyFont="true" applyBorder="true" applyAlignment="true" applyProtection="false">
      <alignment horizontal="general" vertical="bottom" textRotation="0" wrapText="true" indent="0" shrinkToFit="false"/>
      <protection locked="true" hidden="false"/>
    </xf>
    <xf numFmtId="164" fontId="4" fillId="2" borderId="19" xfId="0" applyFont="true" applyBorder="true" applyAlignment="true" applyProtection="false">
      <alignment horizontal="general" vertical="bottom" textRotation="0" wrapText="true" indent="0" shrinkToFit="false"/>
      <protection locked="true" hidden="false"/>
    </xf>
    <xf numFmtId="165" fontId="4" fillId="0" borderId="16" xfId="0" applyFont="true" applyBorder="true" applyAlignment="true" applyProtection="false">
      <alignment horizontal="left" vertical="bottom" textRotation="0" wrapText="true" indent="0" shrinkToFit="false"/>
      <protection locked="true" hidden="false"/>
    </xf>
    <xf numFmtId="164" fontId="11" fillId="4" borderId="20" xfId="0" applyFont="true" applyBorder="true" applyAlignment="true" applyProtection="false">
      <alignment horizontal="left" vertical="bottom" textRotation="0" wrapText="false" indent="0" shrinkToFit="false"/>
      <protection locked="true" hidden="false"/>
    </xf>
    <xf numFmtId="164" fontId="4" fillId="3" borderId="21" xfId="0" applyFont="true" applyBorder="true" applyAlignment="true" applyProtection="false">
      <alignment horizontal="center" vertical="bottom" textRotation="0" wrapText="false" indent="0" shrinkToFit="false"/>
      <protection locked="true" hidden="false"/>
    </xf>
    <xf numFmtId="166" fontId="4" fillId="3" borderId="1" xfId="0" applyFont="true" applyBorder="true" applyAlignment="true" applyProtection="false">
      <alignment horizontal="center" vertical="bottom" textRotation="0" wrapText="false" indent="0" shrinkToFit="false"/>
      <protection locked="true" hidden="false"/>
    </xf>
    <xf numFmtId="165" fontId="10" fillId="4" borderId="16" xfId="0" applyFont="true" applyBorder="true" applyAlignment="true" applyProtection="false">
      <alignment horizontal="center" vertical="center" textRotation="0" wrapText="tru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true" applyProtection="false">
      <alignment horizontal="center" vertical="center" textRotation="0" wrapText="true" indent="0" shrinkToFit="false"/>
      <protection locked="true" hidden="false"/>
    </xf>
    <xf numFmtId="164" fontId="4" fillId="0" borderId="9" xfId="0" applyFont="true" applyBorder="true" applyAlignment="true" applyProtection="false">
      <alignment horizontal="center" vertical="center" textRotation="0" wrapText="true" indent="0" shrinkToFit="false"/>
      <protection locked="true" hidden="false"/>
    </xf>
    <xf numFmtId="165" fontId="4" fillId="0" borderId="22" xfId="0" applyFont="true" applyBorder="true" applyAlignment="true" applyProtection="false">
      <alignment horizontal="center" vertical="center" textRotation="0" wrapText="true" indent="0" shrinkToFit="false"/>
      <protection locked="true" hidden="false"/>
    </xf>
    <xf numFmtId="166" fontId="4" fillId="2" borderId="7" xfId="0" applyFont="true" applyBorder="true" applyAlignment="true" applyProtection="false">
      <alignment horizontal="center" vertical="center" textRotation="0" wrapText="true" indent="0" shrinkToFit="false"/>
      <protection locked="true" hidden="false"/>
    </xf>
    <xf numFmtId="168" fontId="12" fillId="2" borderId="14" xfId="0" applyFont="true" applyBorder="true" applyAlignment="true" applyProtection="false">
      <alignment horizontal="left" vertical="bottom" textRotation="0" wrapText="false" indent="0" shrinkToFit="false"/>
      <protection locked="true" hidden="false"/>
    </xf>
    <xf numFmtId="165" fontId="12" fillId="2" borderId="14" xfId="0" applyFont="true" applyBorder="true" applyAlignment="true" applyProtection="false">
      <alignment horizontal="left" vertical="bottom" textRotation="0" wrapText="false" indent="0" shrinkToFit="false"/>
      <protection locked="true" hidden="false"/>
    </xf>
    <xf numFmtId="164" fontId="11" fillId="4" borderId="20" xfId="0" applyFont="true" applyBorder="true" applyAlignment="true" applyProtection="false">
      <alignment horizontal="left" vertical="bottom" textRotation="0" wrapText="true" indent="0" shrinkToFit="false"/>
      <protection locked="true" hidden="false"/>
    </xf>
    <xf numFmtId="165" fontId="4" fillId="2" borderId="16" xfId="0" applyFont="true" applyBorder="true" applyAlignment="true" applyProtection="false">
      <alignment horizontal="center" vertical="bottom" textRotation="0" wrapText="true" indent="0" shrinkToFit="false"/>
      <protection locked="true" hidden="false"/>
    </xf>
    <xf numFmtId="165" fontId="4" fillId="2" borderId="16" xfId="0" applyFont="true" applyBorder="true" applyAlignment="true" applyProtection="false">
      <alignment horizontal="left" vertical="bottom" textRotation="0" wrapText="true" indent="0" shrinkToFit="false"/>
      <protection locked="true" hidden="false"/>
    </xf>
    <xf numFmtId="165" fontId="4" fillId="2" borderId="16"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false" applyProtection="false">
      <alignment horizontal="general" vertical="bottom" textRotation="0" wrapText="false" indent="0" shrinkToFit="false"/>
      <protection locked="true" hidden="false"/>
    </xf>
    <xf numFmtId="164" fontId="12" fillId="2" borderId="23"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2" fillId="2" borderId="24"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true" applyAlignment="true" applyProtection="false">
      <alignment horizontal="center" vertical="bottom" textRotation="0" wrapText="false" indent="0" shrinkToFit="false"/>
      <protection locked="true" hidden="false"/>
    </xf>
    <xf numFmtId="165" fontId="12" fillId="2" borderId="25" xfId="0" applyFont="true" applyBorder="true" applyAlignment="true" applyProtection="false">
      <alignment horizontal="left" vertical="bottom" textRotation="0" wrapText="false" indent="0" shrinkToFit="false"/>
      <protection locked="true" hidden="false"/>
    </xf>
    <xf numFmtId="164" fontId="12" fillId="2" borderId="26" xfId="0" applyFont="true" applyBorder="true" applyAlignment="true" applyProtection="false">
      <alignment horizontal="center" vertical="bottom" textRotation="0" wrapText="false" indent="0" shrinkToFit="false"/>
      <protection locked="true" hidden="false"/>
    </xf>
    <xf numFmtId="164" fontId="12" fillId="2" borderId="16" xfId="0" applyFont="true" applyBorder="true" applyAlignment="false" applyProtection="false">
      <alignment horizontal="general" vertical="bottom" textRotation="0" wrapText="false" indent="0" shrinkToFit="false"/>
      <protection locked="true" hidden="false"/>
    </xf>
    <xf numFmtId="164" fontId="12" fillId="2" borderId="16" xfId="0" applyFont="true" applyBorder="true" applyAlignment="true" applyProtection="false">
      <alignment horizontal="center" vertical="bottom" textRotation="0" wrapText="false" indent="0" shrinkToFit="false"/>
      <protection locked="true" hidden="false"/>
    </xf>
    <xf numFmtId="165" fontId="12" fillId="2" borderId="16" xfId="0" applyFont="true" applyBorder="true" applyAlignment="true" applyProtection="false">
      <alignment horizontal="left" vertical="bottom" textRotation="0" wrapText="false" indent="0" shrinkToFit="false"/>
      <protection locked="true" hidden="false"/>
    </xf>
    <xf numFmtId="164" fontId="12" fillId="2" borderId="18" xfId="0" applyFont="true" applyBorder="true" applyAlignment="true" applyProtection="false">
      <alignment horizontal="center" vertical="bottom" textRotation="0" wrapText="false" indent="0" shrinkToFit="false"/>
      <protection locked="true" hidden="false"/>
    </xf>
    <xf numFmtId="164" fontId="12" fillId="2" borderId="27" xfId="0" applyFont="true" applyBorder="true" applyAlignment="false" applyProtection="false">
      <alignment horizontal="general" vertical="bottom" textRotation="0" wrapText="false" indent="0" shrinkToFit="false"/>
      <protection locked="true" hidden="false"/>
    </xf>
    <xf numFmtId="164" fontId="12" fillId="2" borderId="28" xfId="0" applyFont="true" applyBorder="true" applyAlignment="false" applyProtection="false">
      <alignment horizontal="general" vertical="bottom" textRotation="0" wrapText="false" indent="0" shrinkToFit="false"/>
      <protection locked="true" hidden="false"/>
    </xf>
    <xf numFmtId="164" fontId="12" fillId="2" borderId="29" xfId="0" applyFont="true" applyBorder="true" applyAlignment="false" applyProtection="false">
      <alignment horizontal="general" vertical="bottom" textRotation="0" wrapText="false" indent="0" shrinkToFit="false"/>
      <protection locked="true" hidden="false"/>
    </xf>
    <xf numFmtId="164" fontId="11" fillId="4" borderId="30" xfId="0" applyFont="true" applyBorder="true" applyAlignment="true" applyProtection="false">
      <alignment horizontal="left" vertical="bottom" textRotation="0" wrapText="true" indent="0" shrinkToFit="false"/>
      <protection locked="true" hidden="false"/>
    </xf>
    <xf numFmtId="164" fontId="4" fillId="3" borderId="31" xfId="0" applyFont="true" applyBorder="true" applyAlignment="true" applyProtection="false">
      <alignment horizontal="center" vertical="bottom" textRotation="0" wrapText="false" indent="0" shrinkToFit="false"/>
      <protection locked="true" hidden="false"/>
    </xf>
    <xf numFmtId="166" fontId="4" fillId="3" borderId="5" xfId="0" applyFont="true" applyBorder="true" applyAlignment="true" applyProtection="false">
      <alignment horizontal="center" vertical="bottom" textRotation="0" wrapText="false" indent="0" shrinkToFit="false"/>
      <protection locked="true" hidden="false"/>
    </xf>
    <xf numFmtId="165" fontId="4" fillId="0" borderId="16" xfId="0" applyFont="true" applyBorder="true" applyAlignment="true" applyProtection="false">
      <alignment horizontal="center" vertical="bottom" textRotation="0" wrapText="false" indent="0" shrinkToFit="false"/>
      <protection locked="true" hidden="false"/>
    </xf>
    <xf numFmtId="164" fontId="0" fillId="0" borderId="11" xfId="0" applyFont="true" applyBorder="true" applyAlignment="true" applyProtection="false">
      <alignment horizontal="general" vertical="bottom" textRotation="0" wrapText="false" indent="0" shrinkToFit="false"/>
      <protection locked="true" hidden="false"/>
    </xf>
    <xf numFmtId="164" fontId="12" fillId="2" borderId="12" xfId="0" applyFont="true" applyBorder="true" applyAlignment="true" applyProtection="false">
      <alignment horizontal="general" vertical="bottom" textRotation="0" wrapText="false" indent="0" shrinkToFit="false"/>
      <protection locked="true" hidden="false"/>
    </xf>
    <xf numFmtId="164" fontId="12" fillId="2" borderId="11" xfId="0" applyFont="true" applyBorder="true" applyAlignment="true" applyProtection="false">
      <alignment horizontal="general" vertical="bottom" textRotation="0" wrapText="false" indent="0" shrinkToFit="false"/>
      <protection locked="true" hidden="false"/>
    </xf>
    <xf numFmtId="164" fontId="12" fillId="2" borderId="19" xfId="0" applyFont="true" applyBorder="true" applyAlignment="true" applyProtection="false">
      <alignment horizontal="center" vertical="bottom" textRotation="0" wrapText="false" indent="0" shrinkToFit="false"/>
      <protection locked="true" hidden="false"/>
    </xf>
    <xf numFmtId="164" fontId="12" fillId="2" borderId="32" xfId="0" applyFont="true" applyBorder="true" applyAlignment="true" applyProtection="false">
      <alignment horizontal="center" vertical="bottom" textRotation="0" wrapText="false" indent="0" shrinkToFit="false"/>
      <protection locked="true" hidden="false"/>
    </xf>
    <xf numFmtId="164" fontId="12" fillId="2" borderId="16" xfId="0" applyFont="true" applyBorder="true" applyAlignment="true" applyProtection="false">
      <alignment horizontal="general" vertical="bottom" textRotation="0" wrapText="false" indent="0" shrinkToFit="false"/>
      <protection locked="true" hidden="false"/>
    </xf>
    <xf numFmtId="164" fontId="12" fillId="2" borderId="18" xfId="0" applyFont="true" applyBorder="true" applyAlignment="true" applyProtection="false">
      <alignment horizontal="general" vertical="bottom" textRotation="0" wrapText="false" indent="0" shrinkToFit="false"/>
      <protection locked="true" hidden="false"/>
    </xf>
    <xf numFmtId="165" fontId="4" fillId="2" borderId="16" xfId="0" applyFont="true" applyBorder="true" applyAlignment="true" applyProtection="false">
      <alignment horizontal="left" vertical="bottom" textRotation="0" wrapText="false" indent="0" shrinkToFit="false"/>
      <protection locked="true" hidden="false"/>
    </xf>
    <xf numFmtId="164" fontId="4" fillId="2" borderId="19" xfId="0" applyFont="true" applyBorder="true" applyAlignment="true" applyProtection="false">
      <alignment horizontal="general" vertical="bottom" textRotation="0" wrapText="false" indent="0" shrinkToFit="false"/>
      <protection locked="true" hidden="false"/>
    </xf>
    <xf numFmtId="164" fontId="10" fillId="0" borderId="16" xfId="0" applyFont="true" applyBorder="true" applyAlignment="true" applyProtection="false">
      <alignment horizontal="general" vertical="bottom" textRotation="0" wrapText="false" indent="0" shrinkToFit="false"/>
      <protection locked="true" hidden="false"/>
    </xf>
    <xf numFmtId="165" fontId="10" fillId="0" borderId="16" xfId="0" applyFont="true" applyBorder="true" applyAlignment="true" applyProtection="false">
      <alignment horizontal="left" vertical="bottom" textRotation="0" wrapText="false" indent="0" shrinkToFit="false"/>
      <protection locked="true" hidden="false"/>
    </xf>
    <xf numFmtId="165" fontId="10" fillId="0" borderId="18" xfId="0" applyFont="true" applyBorder="true" applyAlignment="true" applyProtection="false">
      <alignment horizontal="left" vertical="bottom" textRotation="0" wrapText="false" indent="0" shrinkToFit="false"/>
      <protection locked="true" hidden="false"/>
    </xf>
    <xf numFmtId="164" fontId="4" fillId="0" borderId="16" xfId="0" applyFont="true" applyBorder="true" applyAlignment="true" applyProtection="false">
      <alignment horizontal="left" vertical="bottom" textRotation="0" wrapText="false" indent="0" shrinkToFit="false"/>
      <protection locked="true" hidden="false"/>
    </xf>
    <xf numFmtId="165" fontId="4" fillId="0" borderId="16" xfId="0" applyFont="true" applyBorder="true" applyAlignment="true" applyProtection="false">
      <alignment horizontal="left" vertical="bottom" textRotation="0" wrapText="false" indent="0" shrinkToFit="false"/>
      <protection locked="true" hidden="false"/>
    </xf>
    <xf numFmtId="164" fontId="4" fillId="0" borderId="18" xfId="0" applyFont="true" applyBorder="true" applyAlignment="true" applyProtection="false">
      <alignment horizontal="general" vertical="bottom" textRotation="0" wrapText="false" indent="0" shrinkToFit="false"/>
      <protection locked="true" hidden="false"/>
    </xf>
    <xf numFmtId="164" fontId="12" fillId="2" borderId="16" xfId="0" applyFont="true" applyBorder="true" applyAlignment="true" applyProtection="false">
      <alignment horizontal="general" vertical="bottom" textRotation="0" wrapText="true" indent="0" shrinkToFit="false"/>
      <protection locked="true" hidden="false"/>
    </xf>
    <xf numFmtId="164" fontId="4" fillId="0" borderId="16" xfId="0" applyFont="true" applyBorder="true" applyAlignment="true" applyProtection="false">
      <alignment horizontal="left" vertical="bottom" textRotation="0" wrapText="true" indent="0" shrinkToFit="false"/>
      <protection locked="true" hidden="false"/>
    </xf>
    <xf numFmtId="164" fontId="4" fillId="0" borderId="18" xfId="0" applyFont="true" applyBorder="true" applyAlignment="true" applyProtection="false">
      <alignment horizontal="general" vertical="bottom" textRotation="0" wrapText="true" indent="0" shrinkToFit="false"/>
      <protection locked="true" hidden="false"/>
    </xf>
    <xf numFmtId="164" fontId="12" fillId="2" borderId="33" xfId="0" applyFont="true" applyBorder="true" applyAlignment="true" applyProtection="false">
      <alignment horizontal="general" vertical="bottom" textRotation="0" wrapText="true" indent="0" shrinkToFit="false"/>
      <protection locked="true" hidden="false"/>
    </xf>
    <xf numFmtId="164" fontId="12" fillId="2" borderId="33"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5" fontId="4" fillId="2" borderId="0" xfId="0" applyFont="true" applyBorder="true" applyAlignment="true" applyProtection="false">
      <alignment horizontal="left" vertical="bottom" textRotation="0" wrapText="false" indent="0" shrinkToFit="false"/>
      <protection locked="true" hidden="false"/>
    </xf>
    <xf numFmtId="165" fontId="4" fillId="2"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left"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center"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70" fontId="4" fillId="2" borderId="0" xfId="0" applyFont="true" applyBorder="false" applyAlignment="false" applyProtection="false">
      <alignment horizontal="general" vertical="bottom" textRotation="0" wrapText="false" indent="0" shrinkToFit="false"/>
      <protection locked="true" hidden="false"/>
    </xf>
    <xf numFmtId="167" fontId="6" fillId="2" borderId="2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70" fontId="4" fillId="2" borderId="0" xfId="0" applyFont="true" applyBorder="false" applyAlignment="true" applyProtection="false">
      <alignment horizontal="center" vertical="bottom" textRotation="0" wrapText="true" indent="0" shrinkToFit="false"/>
      <protection locked="true" hidden="false"/>
    </xf>
    <xf numFmtId="165" fontId="4" fillId="2" borderId="0" xfId="0" applyFont="true" applyBorder="false" applyAlignment="true" applyProtection="false">
      <alignment horizontal="center" vertical="bottom" textRotation="0" wrapText="true" indent="0" shrinkToFit="false"/>
      <protection locked="true" hidden="false"/>
    </xf>
    <xf numFmtId="164" fontId="9" fillId="2" borderId="21" xfId="0" applyFont="true" applyBorder="true" applyAlignment="true" applyProtection="false">
      <alignment horizontal="center" vertical="center" textRotation="0" wrapText="false" indent="0" shrinkToFit="false"/>
      <protection locked="true" hidden="false"/>
    </xf>
    <xf numFmtId="170" fontId="10" fillId="4" borderId="20" xfId="0" applyFont="true" applyBorder="true" applyAlignment="true" applyProtection="false">
      <alignment horizontal="center" vertical="center" textRotation="0" wrapText="true" indent="0" shrinkToFit="false"/>
      <protection locked="true" hidden="false"/>
    </xf>
    <xf numFmtId="166" fontId="4" fillId="3" borderId="2" xfId="0" applyFont="true" applyBorder="true" applyAlignment="true" applyProtection="false">
      <alignment horizontal="center" vertical="bottom" textRotation="0" wrapText="false" indent="0" shrinkToFit="false"/>
      <protection locked="true" hidden="false"/>
    </xf>
    <xf numFmtId="165" fontId="4" fillId="3" borderId="4" xfId="0" applyFont="true" applyBorder="true" applyAlignment="true" applyProtection="false">
      <alignment horizontal="center" vertical="center" textRotation="0" wrapText="true" indent="0" shrinkToFit="false"/>
      <protection locked="true" hidden="false"/>
    </xf>
    <xf numFmtId="165" fontId="4" fillId="2" borderId="6" xfId="0" applyFont="true" applyBorder="true" applyAlignment="true" applyProtection="false">
      <alignment horizontal="center" vertical="center" textRotation="0" wrapText="true" indent="0" shrinkToFit="false"/>
      <protection locked="true" hidden="false"/>
    </xf>
    <xf numFmtId="170" fontId="4" fillId="5" borderId="9" xfId="0" applyFont="true" applyBorder="true" applyAlignment="true" applyProtection="false">
      <alignment horizontal="center" vertical="center" textRotation="0" wrapText="true" indent="0" shrinkToFit="false"/>
      <protection locked="true" hidden="false"/>
    </xf>
    <xf numFmtId="165" fontId="4" fillId="5" borderId="8" xfId="0" applyFont="true" applyBorder="true" applyAlignment="true" applyProtection="false">
      <alignment horizontal="center" vertical="center" textRotation="0" wrapText="true" indent="0" shrinkToFit="false"/>
      <protection locked="true" hidden="false"/>
    </xf>
    <xf numFmtId="164" fontId="0" fillId="0" borderId="34" xfId="0" applyFont="true" applyBorder="true" applyAlignment="false" applyProtection="false">
      <alignment horizontal="general" vertical="bottom" textRotation="0" wrapText="false" indent="0" shrinkToFit="false"/>
      <protection locked="true" hidden="false"/>
    </xf>
    <xf numFmtId="164" fontId="12" fillId="2" borderId="35" xfId="0" applyFont="true" applyBorder="true" applyAlignment="true" applyProtection="false">
      <alignment horizontal="center" vertical="bottom" textRotation="0" wrapText="false" indent="0" shrinkToFit="false"/>
      <protection locked="true" hidden="false"/>
    </xf>
    <xf numFmtId="165" fontId="12" fillId="2" borderId="36" xfId="0" applyFont="true" applyBorder="true" applyAlignment="true" applyProtection="false">
      <alignment horizontal="left" vertical="bottom" textRotation="0" wrapText="false" indent="0" shrinkToFit="false"/>
      <protection locked="true" hidden="false"/>
    </xf>
    <xf numFmtId="170" fontId="12" fillId="0" borderId="19" xfId="0" applyFont="true" applyBorder="true" applyAlignment="true" applyProtection="false">
      <alignment horizontal="center" vertical="bottom" textRotation="0" wrapText="false" indent="0" shrinkToFit="false"/>
      <protection locked="true" hidden="false"/>
    </xf>
    <xf numFmtId="165" fontId="12" fillId="0" borderId="36" xfId="0" applyFont="true" applyBorder="true" applyAlignment="false" applyProtection="false">
      <alignment horizontal="general" vertical="bottom" textRotation="0" wrapText="false" indent="0" shrinkToFit="false"/>
      <protection locked="true" hidden="false"/>
    </xf>
    <xf numFmtId="170" fontId="4" fillId="2" borderId="33" xfId="0" applyFont="true" applyBorder="true" applyAlignment="false" applyProtection="false">
      <alignment horizontal="general" vertical="bottom" textRotation="0" wrapText="false" indent="0" shrinkToFit="false"/>
      <protection locked="true" hidden="false"/>
    </xf>
    <xf numFmtId="165" fontId="12" fillId="3" borderId="16" xfId="0" applyFont="true" applyBorder="true" applyAlignment="true" applyProtection="false">
      <alignment horizontal="left" vertical="bottom" textRotation="0" wrapText="false" indent="0" shrinkToFit="false"/>
      <protection locked="true" hidden="false"/>
    </xf>
    <xf numFmtId="165" fontId="4" fillId="2" borderId="37" xfId="0" applyFont="true" applyBorder="true" applyAlignment="true" applyProtection="false">
      <alignment horizontal="left" vertical="bottom" textRotation="0" wrapText="false" indent="0" shrinkToFit="false"/>
      <protection locked="true" hidden="false"/>
    </xf>
    <xf numFmtId="164" fontId="0" fillId="0" borderId="36" xfId="0" applyFont="true" applyBorder="true" applyAlignment="false" applyProtection="false">
      <alignment horizontal="general" vertical="bottom" textRotation="0" wrapText="false" indent="0" shrinkToFit="false"/>
      <protection locked="true" hidden="false"/>
    </xf>
    <xf numFmtId="166" fontId="12" fillId="0" borderId="35"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35" xfId="0" applyFont="true" applyBorder="true" applyAlignment="true" applyProtection="false">
      <alignment horizontal="center" vertical="bottom" textRotation="0" wrapText="false" indent="0" shrinkToFit="false"/>
      <protection locked="true" hidden="false"/>
    </xf>
    <xf numFmtId="164" fontId="12" fillId="2" borderId="36" xfId="0" applyFont="true" applyBorder="true" applyAlignment="true" applyProtection="false">
      <alignment horizontal="left" vertical="bottom" textRotation="0" wrapText="false" indent="0" shrinkToFit="false"/>
      <protection locked="true" hidden="false"/>
    </xf>
    <xf numFmtId="164" fontId="12" fillId="2" borderId="38" xfId="0" applyFont="true" applyBorder="true" applyAlignment="false" applyProtection="false">
      <alignment horizontal="general" vertical="bottom" textRotation="0" wrapText="false" indent="0" shrinkToFit="false"/>
      <protection locked="true" hidden="false"/>
    </xf>
    <xf numFmtId="165" fontId="4" fillId="6" borderId="20" xfId="0" applyFont="true" applyBorder="true" applyAlignment="true" applyProtection="false">
      <alignment horizontal="left" vertical="bottom" textRotation="0" wrapText="false" indent="0" shrinkToFit="false"/>
      <protection locked="true" hidden="false"/>
    </xf>
    <xf numFmtId="165" fontId="10" fillId="4" borderId="39" xfId="0" applyFont="true" applyBorder="true" applyAlignment="true" applyProtection="false">
      <alignment horizontal="center" vertical="center" textRotation="0" wrapText="true" indent="0" shrinkToFit="false"/>
      <protection locked="true" hidden="false"/>
    </xf>
    <xf numFmtId="165" fontId="4" fillId="3" borderId="40" xfId="0" applyFont="true" applyBorder="true" applyAlignment="true" applyProtection="false">
      <alignment horizontal="center" vertical="center" textRotation="0" wrapText="true" indent="0" shrinkToFit="false"/>
      <protection locked="true" hidden="false"/>
    </xf>
    <xf numFmtId="165" fontId="10" fillId="4" borderId="40" xfId="0" applyFont="true" applyBorder="true" applyAlignment="true" applyProtection="false">
      <alignment horizontal="center" vertical="center" textRotation="0" wrapText="true" indent="0" shrinkToFit="false"/>
      <protection locked="true" hidden="false"/>
    </xf>
    <xf numFmtId="164" fontId="4" fillId="0" borderId="41" xfId="0" applyFont="true" applyBorder="true" applyAlignment="true" applyProtection="false">
      <alignment horizontal="center" vertical="center" textRotation="0" wrapText="true" indent="0" shrinkToFit="false"/>
      <protection locked="true" hidden="false"/>
    </xf>
    <xf numFmtId="165" fontId="4" fillId="0" borderId="38" xfId="0" applyFont="true" applyBorder="true" applyAlignment="true" applyProtection="false">
      <alignment horizontal="center" vertical="center" textRotation="0" wrapText="true" indent="0" shrinkToFit="false"/>
      <protection locked="true" hidden="false"/>
    </xf>
    <xf numFmtId="166" fontId="4" fillId="2" borderId="41" xfId="0" applyFont="true" applyBorder="true" applyAlignment="true" applyProtection="false">
      <alignment horizontal="center" vertical="center" textRotation="0" wrapText="true" indent="0" shrinkToFit="false"/>
      <protection locked="true" hidden="false"/>
    </xf>
    <xf numFmtId="165" fontId="4" fillId="2" borderId="38" xfId="0" applyFont="true" applyBorder="true" applyAlignment="true" applyProtection="false">
      <alignment horizontal="center" vertical="center" textRotation="0" wrapText="true" indent="0" shrinkToFit="false"/>
      <protection locked="true" hidden="false"/>
    </xf>
    <xf numFmtId="164" fontId="12" fillId="2" borderId="34" xfId="0" applyFont="true" applyBorder="true" applyAlignment="true" applyProtection="false">
      <alignment horizontal="left" vertical="bottom" textRotation="0" wrapText="false" indent="0" shrinkToFit="false"/>
      <protection locked="true" hidden="false"/>
    </xf>
    <xf numFmtId="170" fontId="12" fillId="2" borderId="19" xfId="0" applyFont="true" applyBorder="true" applyAlignment="true" applyProtection="false">
      <alignment horizontal="center" vertical="bottom" textRotation="0" wrapText="false" indent="0" shrinkToFit="false"/>
      <protection locked="true" hidden="false"/>
    </xf>
    <xf numFmtId="164" fontId="4" fillId="2" borderId="36" xfId="0" applyFont="true" applyBorder="true" applyAlignment="true" applyProtection="false">
      <alignment horizontal="left" vertical="bottom" textRotation="0" wrapText="false" indent="0" shrinkToFit="false"/>
      <protection locked="true" hidden="false"/>
    </xf>
    <xf numFmtId="165" fontId="12" fillId="3" borderId="18" xfId="0" applyFont="true" applyBorder="true" applyAlignment="true" applyProtection="false">
      <alignment horizontal="left" vertical="bottom" textRotation="0" wrapText="fals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0" fillId="0" borderId="42" xfId="0" applyFont="false" applyBorder="true" applyAlignment="false" applyProtection="false">
      <alignment horizontal="general" vertical="bottom" textRotation="0" wrapText="false" indent="0" shrinkToFit="false"/>
      <protection locked="true" hidden="false"/>
    </xf>
    <xf numFmtId="164" fontId="12" fillId="0" borderId="36"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left"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9E2"/>
      <rgbColor rgb="FF808080"/>
      <rgbColor rgb="FF9999FF"/>
      <rgbColor rgb="FF993366"/>
      <rgbColor rgb="FFFFFFCC"/>
      <rgbColor rgb="FFCCFFFF"/>
      <rgbColor rgb="FF660066"/>
      <rgbColor rgb="FFFF8080"/>
      <rgbColor rgb="FF0066CC"/>
      <rgbColor rgb="FFCADC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3"/>
  <sheetViews>
    <sheetView showFormulas="false" showGridLines="false" showRowColHeaders="true" showZeros="true" rightToLeft="false" tabSelected="true" showOutlineSymbols="true" defaultGridColor="true" view="normal" topLeftCell="A1" colorId="64" zoomScale="125" zoomScaleNormal="125" zoomScalePageLayoutView="100" workbookViewId="0">
      <selection pane="topLeft" activeCell="D2" activeCellId="0" sqref="D2"/>
    </sheetView>
  </sheetViews>
  <sheetFormatPr defaultColWidth="9.109375" defaultRowHeight="12.75" customHeight="true" zeroHeight="false" outlineLevelRow="0" outlineLevelCol="0"/>
  <cols>
    <col collapsed="false" customWidth="true" hidden="false" outlineLevel="0" max="2" min="1" style="1" width="3.44"/>
    <col collapsed="false" customWidth="true" hidden="false" outlineLevel="0" max="3" min="3" style="1" width="21.44"/>
    <col collapsed="false" customWidth="true" hidden="false" outlineLevel="0" max="4" min="4" style="1" width="12.67"/>
    <col collapsed="false" customWidth="true" hidden="false" outlineLevel="0" max="6" min="5" style="2" width="9.67"/>
    <col collapsed="false" customWidth="false" hidden="false" outlineLevel="0" max="7" min="7" style="3" width="9.11"/>
    <col collapsed="false" customWidth="true" hidden="false" outlineLevel="0" max="8" min="8" style="3" width="13.44"/>
    <col collapsed="false" customWidth="true" hidden="false" outlineLevel="0" max="9" min="9" style="1" width="12.88"/>
    <col collapsed="false" customWidth="true" hidden="true" outlineLevel="0" max="14" min="10" style="1" width="11.56"/>
    <col collapsed="false" customWidth="false" hidden="false" outlineLevel="0" max="16384" min="15" style="1" width="9.11"/>
  </cols>
  <sheetData>
    <row r="1" s="1" customFormat="true" ht="22.05" hidden="false" customHeight="false" outlineLevel="0" collapsed="false">
      <c r="C1" s="4" t="s">
        <v>0</v>
      </c>
      <c r="G1" s="2"/>
      <c r="H1" s="5"/>
      <c r="I1" s="3"/>
    </row>
    <row r="2" s="1" customFormat="true" ht="17.25" hidden="false" customHeight="true" outlineLevel="0" collapsed="false">
      <c r="C2" s="1" t="s">
        <v>1</v>
      </c>
      <c r="G2" s="2"/>
      <c r="H2" s="5" t="s">
        <v>2</v>
      </c>
      <c r="I2" s="3"/>
    </row>
    <row r="3" s="1" customFormat="true" ht="12.75" hidden="false" customHeight="false" outlineLevel="0" collapsed="false">
      <c r="D3" s="6"/>
      <c r="G3" s="3"/>
      <c r="H3" s="5"/>
      <c r="I3" s="3"/>
    </row>
    <row r="4" customFormat="false" ht="12.75" hidden="false" customHeight="false" outlineLevel="0" collapsed="false">
      <c r="C4" s="7"/>
      <c r="D4" s="8"/>
      <c r="E4" s="9"/>
      <c r="F4" s="9"/>
    </row>
    <row r="5" s="2" customFormat="true" ht="17.25" hidden="false" customHeight="true" outlineLevel="0" collapsed="false">
      <c r="C5" s="10" t="s">
        <v>3</v>
      </c>
      <c r="D5" s="10"/>
      <c r="E5" s="11"/>
      <c r="F5" s="11"/>
      <c r="G5" s="11"/>
      <c r="H5" s="12"/>
      <c r="I5" s="13" t="s">
        <v>4</v>
      </c>
    </row>
    <row r="6" s="2" customFormat="true" ht="13.5" hidden="false" customHeight="true" outlineLevel="0" collapsed="false">
      <c r="C6" s="10"/>
      <c r="D6" s="10"/>
      <c r="E6" s="14" t="s">
        <v>5</v>
      </c>
      <c r="F6" s="15" t="s">
        <v>6</v>
      </c>
      <c r="G6" s="16" t="s">
        <v>7</v>
      </c>
      <c r="H6" s="17" t="s">
        <v>8</v>
      </c>
      <c r="I6" s="13"/>
      <c r="M6" s="2" t="s">
        <v>9</v>
      </c>
    </row>
    <row r="7" s="2" customFormat="true" ht="20.25" hidden="false" customHeight="true" outlineLevel="0" collapsed="false">
      <c r="C7" s="18" t="s">
        <v>10</v>
      </c>
      <c r="D7" s="19"/>
      <c r="E7" s="20"/>
      <c r="F7" s="21"/>
      <c r="G7" s="22"/>
      <c r="H7" s="23"/>
      <c r="I7" s="24"/>
      <c r="J7" s="2" t="s">
        <v>11</v>
      </c>
      <c r="K7" s="2" t="s">
        <v>12</v>
      </c>
      <c r="L7" s="2" t="s">
        <v>13</v>
      </c>
      <c r="M7" s="2" t="s">
        <v>14</v>
      </c>
      <c r="N7" s="2" t="s">
        <v>15</v>
      </c>
    </row>
    <row r="8" s="25" customFormat="true" ht="12.75" hidden="false" customHeight="false" outlineLevel="0" collapsed="false">
      <c r="C8" s="26" t="s">
        <v>16</v>
      </c>
      <c r="D8" s="27"/>
      <c r="E8" s="28" t="s">
        <v>17</v>
      </c>
      <c r="F8" s="29"/>
      <c r="G8" s="30" t="s">
        <v>18</v>
      </c>
      <c r="H8" s="31"/>
      <c r="I8" s="32" t="s">
        <v>13</v>
      </c>
      <c r="J8" s="33"/>
      <c r="K8" s="33"/>
      <c r="L8" s="33"/>
      <c r="M8" s="33" t="n">
        <f aca="false">MIN(J8:L8)</f>
        <v>0</v>
      </c>
      <c r="N8" s="34" t="e">
        <f aca="false">SUM(M8/E8)</f>
        <v>#VALUE!</v>
      </c>
    </row>
    <row r="9" s="25" customFormat="true" ht="12.75" hidden="false" customHeight="false" outlineLevel="0" collapsed="false">
      <c r="C9" s="26" t="s">
        <v>19</v>
      </c>
      <c r="D9" s="27"/>
      <c r="E9" s="28" t="s">
        <v>20</v>
      </c>
      <c r="F9" s="29"/>
      <c r="G9" s="30" t="s">
        <v>18</v>
      </c>
      <c r="H9" s="35"/>
      <c r="I9" s="32" t="s">
        <v>13</v>
      </c>
      <c r="J9" s="33"/>
      <c r="K9" s="33"/>
      <c r="L9" s="33"/>
      <c r="M9" s="33" t="n">
        <f aca="false">MIN(J9:L9)</f>
        <v>0</v>
      </c>
      <c r="N9" s="34" t="e">
        <f aca="false">SUM(M9/E9)</f>
        <v>#VALUE!</v>
      </c>
    </row>
    <row r="10" s="25" customFormat="true" ht="12.75" hidden="false" customHeight="false" outlineLevel="0" collapsed="false">
      <c r="C10" s="26" t="s">
        <v>21</v>
      </c>
      <c r="D10" s="27"/>
      <c r="E10" s="28"/>
      <c r="F10" s="29"/>
      <c r="G10" s="30"/>
      <c r="H10" s="35"/>
      <c r="I10" s="32" t="s">
        <v>13</v>
      </c>
      <c r="J10" s="33"/>
      <c r="K10" s="33"/>
      <c r="L10" s="33"/>
      <c r="M10" s="33" t="n">
        <f aca="false">MIN(J10:L10)</f>
        <v>0</v>
      </c>
      <c r="N10" s="34" t="e">
        <f aca="false">SUM(M10/E10)</f>
        <v>#DIV/0!</v>
      </c>
    </row>
    <row r="11" s="25" customFormat="true" ht="12.75" hidden="false" customHeight="false" outlineLevel="0" collapsed="false">
      <c r="C11" s="26" t="s">
        <v>22</v>
      </c>
      <c r="D11" s="27"/>
      <c r="E11" s="28"/>
      <c r="F11" s="29"/>
      <c r="G11" s="30"/>
      <c r="H11" s="35"/>
      <c r="I11" s="32" t="s">
        <v>13</v>
      </c>
      <c r="J11" s="33"/>
      <c r="K11" s="33"/>
      <c r="L11" s="33"/>
      <c r="M11" s="33" t="n">
        <f aca="false">MIN(J11:L11)</f>
        <v>0</v>
      </c>
      <c r="N11" s="34" t="e">
        <f aca="false">SUM(M11/E11)</f>
        <v>#DIV/0!</v>
      </c>
    </row>
    <row r="12" s="25" customFormat="true" ht="12.75" hidden="false" customHeight="false" outlineLevel="0" collapsed="false">
      <c r="C12" s="26" t="s">
        <v>23</v>
      </c>
      <c r="D12" s="27"/>
      <c r="E12" s="28" t="s">
        <v>24</v>
      </c>
      <c r="F12" s="29"/>
      <c r="G12" s="30" t="s">
        <v>18</v>
      </c>
      <c r="H12" s="35"/>
      <c r="I12" s="32" t="s">
        <v>13</v>
      </c>
      <c r="J12" s="33"/>
      <c r="K12" s="33"/>
      <c r="L12" s="33"/>
      <c r="M12" s="33" t="n">
        <f aca="false">MIN(J12:L12)</f>
        <v>0</v>
      </c>
      <c r="N12" s="34" t="e">
        <f aca="false">SUM(M12/E12)</f>
        <v>#VALUE!</v>
      </c>
    </row>
    <row r="13" s="25" customFormat="true" ht="12.75" hidden="false" customHeight="false" outlineLevel="0" collapsed="false">
      <c r="C13" s="36" t="s">
        <v>25</v>
      </c>
      <c r="D13" s="27"/>
      <c r="E13" s="28" t="s">
        <v>26</v>
      </c>
      <c r="F13" s="29"/>
      <c r="G13" s="30" t="s">
        <v>18</v>
      </c>
      <c r="H13" s="35"/>
      <c r="I13" s="32" t="s">
        <v>13</v>
      </c>
      <c r="J13" s="33"/>
      <c r="K13" s="33"/>
      <c r="L13" s="33"/>
      <c r="M13" s="33" t="n">
        <f aca="false">MIN(J13:L13)</f>
        <v>0</v>
      </c>
      <c r="N13" s="34" t="e">
        <f aca="false">SUM(M13/E13)</f>
        <v>#VALUE!</v>
      </c>
    </row>
    <row r="14" s="25" customFormat="true" ht="12.75" hidden="false" customHeight="false" outlineLevel="0" collapsed="false">
      <c r="C14" s="26" t="s">
        <v>27</v>
      </c>
      <c r="D14" s="27"/>
      <c r="E14" s="28" t="s">
        <v>28</v>
      </c>
      <c r="F14" s="29"/>
      <c r="G14" s="30" t="s">
        <v>29</v>
      </c>
      <c r="H14" s="35"/>
      <c r="I14" s="32" t="s">
        <v>13</v>
      </c>
      <c r="J14" s="33"/>
      <c r="K14" s="33"/>
      <c r="L14" s="33"/>
      <c r="M14" s="33" t="n">
        <f aca="false">MIN(J14:L14)</f>
        <v>0</v>
      </c>
      <c r="N14" s="34" t="e">
        <f aca="false">SUM(M14/E14)</f>
        <v>#VALUE!</v>
      </c>
    </row>
    <row r="15" s="25" customFormat="true" ht="12.75" hidden="false" customHeight="false" outlineLevel="0" collapsed="false">
      <c r="C15" s="36" t="s">
        <v>30</v>
      </c>
      <c r="D15" s="27"/>
      <c r="E15" s="28" t="s">
        <v>28</v>
      </c>
      <c r="F15" s="29"/>
      <c r="G15" s="30" t="s">
        <v>29</v>
      </c>
      <c r="H15" s="35"/>
      <c r="I15" s="32" t="s">
        <v>13</v>
      </c>
      <c r="J15" s="33"/>
      <c r="K15" s="33"/>
      <c r="L15" s="33"/>
      <c r="M15" s="33" t="n">
        <f aca="false">MIN(J15:L15)</f>
        <v>0</v>
      </c>
      <c r="N15" s="34" t="e">
        <f aca="false">SUM(M15/E15)</f>
        <v>#VALUE!</v>
      </c>
    </row>
    <row r="16" s="25" customFormat="true" ht="12.75" hidden="false" customHeight="false" outlineLevel="0" collapsed="false">
      <c r="C16" s="37" t="s">
        <v>31</v>
      </c>
      <c r="D16" s="27"/>
      <c r="E16" s="28" t="s">
        <v>32</v>
      </c>
      <c r="F16" s="29"/>
      <c r="G16" s="30" t="s">
        <v>18</v>
      </c>
      <c r="H16" s="35"/>
      <c r="I16" s="32" t="s">
        <v>13</v>
      </c>
      <c r="J16" s="33"/>
      <c r="K16" s="33"/>
      <c r="L16" s="33"/>
      <c r="M16" s="33" t="n">
        <f aca="false">MIN(J16:L16)</f>
        <v>0</v>
      </c>
      <c r="N16" s="34" t="e">
        <f aca="false">SUM(M16/E16)</f>
        <v>#VALUE!</v>
      </c>
    </row>
    <row r="17" s="25" customFormat="true" ht="12.75" hidden="false" customHeight="false" outlineLevel="0" collapsed="false">
      <c r="C17" s="37" t="s">
        <v>33</v>
      </c>
      <c r="D17" s="27"/>
      <c r="E17" s="28" t="s">
        <v>28</v>
      </c>
      <c r="F17" s="29"/>
      <c r="G17" s="30" t="s">
        <v>34</v>
      </c>
      <c r="H17" s="35"/>
      <c r="I17" s="32" t="s">
        <v>13</v>
      </c>
      <c r="J17" s="33"/>
      <c r="K17" s="33"/>
      <c r="L17" s="33"/>
      <c r="M17" s="33" t="n">
        <f aca="false">MIN(J17:L17)</f>
        <v>0</v>
      </c>
      <c r="N17" s="34" t="e">
        <f aca="false">SUM(M17/E17)</f>
        <v>#VALUE!</v>
      </c>
    </row>
    <row r="18" s="25" customFormat="true" ht="12.75" hidden="false" customHeight="false" outlineLevel="0" collapsed="false">
      <c r="C18" s="37" t="s">
        <v>35</v>
      </c>
      <c r="D18" s="27"/>
      <c r="E18" s="28" t="s">
        <v>28</v>
      </c>
      <c r="F18" s="29"/>
      <c r="G18" s="30" t="s">
        <v>29</v>
      </c>
      <c r="H18" s="35"/>
      <c r="I18" s="32" t="s">
        <v>13</v>
      </c>
      <c r="J18" s="33"/>
      <c r="K18" s="33"/>
      <c r="L18" s="33"/>
      <c r="M18" s="33" t="n">
        <f aca="false">MIN(J18:L18)</f>
        <v>0</v>
      </c>
      <c r="N18" s="34" t="e">
        <f aca="false">SUM(M18/E18)</f>
        <v>#VALUE!</v>
      </c>
    </row>
    <row r="19" s="25" customFormat="true" ht="12.75" hidden="false" customHeight="false" outlineLevel="0" collapsed="false">
      <c r="C19" s="37" t="s">
        <v>36</v>
      </c>
      <c r="D19" s="27"/>
      <c r="E19" s="28" t="s">
        <v>37</v>
      </c>
      <c r="F19" s="29"/>
      <c r="G19" s="30" t="s">
        <v>18</v>
      </c>
      <c r="H19" s="35"/>
      <c r="I19" s="32" t="s">
        <v>13</v>
      </c>
      <c r="J19" s="33"/>
      <c r="K19" s="33"/>
      <c r="L19" s="33"/>
      <c r="M19" s="33"/>
      <c r="N19" s="34"/>
    </row>
    <row r="20" s="25" customFormat="true" ht="12.75" hidden="false" customHeight="false" outlineLevel="0" collapsed="false">
      <c r="C20" s="37" t="s">
        <v>38</v>
      </c>
      <c r="D20" s="27"/>
      <c r="E20" s="28" t="s">
        <v>39</v>
      </c>
      <c r="F20" s="29"/>
      <c r="G20" s="30" t="s">
        <v>18</v>
      </c>
      <c r="H20" s="35"/>
      <c r="I20" s="32" t="s">
        <v>13</v>
      </c>
      <c r="J20" s="33"/>
      <c r="K20" s="33"/>
      <c r="L20" s="33"/>
      <c r="M20" s="33"/>
      <c r="N20" s="34"/>
    </row>
    <row r="21" s="25" customFormat="true" ht="12.75" hidden="false" customHeight="false" outlineLevel="0" collapsed="false">
      <c r="C21" s="37" t="s">
        <v>40</v>
      </c>
      <c r="D21" s="27"/>
      <c r="E21" s="28" t="s">
        <v>41</v>
      </c>
      <c r="F21" s="29"/>
      <c r="G21" s="30" t="s">
        <v>18</v>
      </c>
      <c r="H21" s="35"/>
      <c r="I21" s="32" t="s">
        <v>13</v>
      </c>
      <c r="J21" s="33"/>
      <c r="K21" s="33"/>
      <c r="L21" s="33"/>
      <c r="M21" s="33"/>
      <c r="N21" s="34"/>
    </row>
    <row r="22" s="25" customFormat="true" ht="12.75" hidden="false" customHeight="false" outlineLevel="0" collapsed="false">
      <c r="C22" s="37" t="s">
        <v>42</v>
      </c>
      <c r="D22" s="27"/>
      <c r="E22" s="28" t="s">
        <v>43</v>
      </c>
      <c r="F22" s="29"/>
      <c r="G22" s="30" t="s">
        <v>18</v>
      </c>
      <c r="H22" s="35"/>
      <c r="I22" s="32" t="s">
        <v>13</v>
      </c>
      <c r="J22" s="33"/>
      <c r="K22" s="33"/>
      <c r="L22" s="33"/>
      <c r="M22" s="33"/>
      <c r="N22" s="34"/>
    </row>
    <row r="23" s="25" customFormat="true" ht="12.75" hidden="false" customHeight="false" outlineLevel="0" collapsed="false">
      <c r="C23" s="38"/>
      <c r="D23" s="39"/>
      <c r="E23" s="28"/>
      <c r="F23" s="29"/>
      <c r="G23" s="30"/>
      <c r="H23" s="35"/>
      <c r="I23" s="40" t="s">
        <v>44</v>
      </c>
      <c r="J23" s="33"/>
      <c r="K23" s="33"/>
      <c r="L23" s="33"/>
      <c r="M23" s="33" t="n">
        <f aca="false">MIN(J23:L23)</f>
        <v>0</v>
      </c>
      <c r="N23" s="34" t="e">
        <f aca="false">SUM(M23/E23)</f>
        <v>#DIV/0!</v>
      </c>
    </row>
    <row r="24" s="2" customFormat="true" ht="12.75" hidden="false" customHeight="true" outlineLevel="0" collapsed="false">
      <c r="C24" s="41" t="s">
        <v>45</v>
      </c>
      <c r="D24" s="41"/>
      <c r="E24" s="42"/>
      <c r="F24" s="42"/>
      <c r="G24" s="42"/>
      <c r="H24" s="43"/>
      <c r="I24" s="44" t="s">
        <v>4</v>
      </c>
      <c r="J24" s="45"/>
      <c r="K24" s="45"/>
      <c r="L24" s="45"/>
      <c r="M24" s="33" t="n">
        <f aca="false">MIN(J24:L24)</f>
        <v>0</v>
      </c>
      <c r="N24" s="34" t="e">
        <f aca="false">SUM(M24/E24)</f>
        <v>#DIV/0!</v>
      </c>
    </row>
    <row r="25" s="2" customFormat="true" ht="15" hidden="false" customHeight="true" outlineLevel="0" collapsed="false">
      <c r="C25" s="41"/>
      <c r="D25" s="41"/>
      <c r="E25" s="46" t="s">
        <v>5</v>
      </c>
      <c r="F25" s="47" t="s">
        <v>6</v>
      </c>
      <c r="G25" s="48" t="s">
        <v>7</v>
      </c>
      <c r="H25" s="49" t="s">
        <v>8</v>
      </c>
      <c r="I25" s="44"/>
      <c r="J25" s="45"/>
      <c r="K25" s="45"/>
      <c r="L25" s="45"/>
      <c r="M25" s="33" t="n">
        <f aca="false">MIN(J25:L25)</f>
        <v>0</v>
      </c>
      <c r="N25" s="34" t="e">
        <f aca="false">SUM(M25/E25)</f>
        <v>#VALUE!</v>
      </c>
    </row>
    <row r="26" s="25" customFormat="true" ht="12.75" hidden="false" customHeight="false" outlineLevel="0" collapsed="false">
      <c r="C26" s="26" t="s">
        <v>46</v>
      </c>
      <c r="D26" s="27"/>
      <c r="E26" s="28" t="s">
        <v>18</v>
      </c>
      <c r="F26" s="29"/>
      <c r="G26" s="50" t="s">
        <v>18</v>
      </c>
      <c r="H26" s="35"/>
      <c r="I26" s="32" t="s">
        <v>13</v>
      </c>
      <c r="J26" s="33"/>
      <c r="K26" s="33"/>
      <c r="L26" s="33"/>
      <c r="M26" s="33" t="n">
        <f aca="false">MIN(J26:L26)</f>
        <v>0</v>
      </c>
      <c r="N26" s="34" t="e">
        <f aca="false">SUM(M26/E26)</f>
        <v>#VALUE!</v>
      </c>
    </row>
    <row r="27" s="25" customFormat="true" ht="12.75" hidden="false" customHeight="false" outlineLevel="0" collapsed="false">
      <c r="C27" s="26" t="s">
        <v>47</v>
      </c>
      <c r="D27" s="27"/>
      <c r="E27" s="28" t="n">
        <v>1</v>
      </c>
      <c r="F27" s="29"/>
      <c r="G27" s="50" t="n">
        <v>1</v>
      </c>
      <c r="H27" s="35"/>
      <c r="I27" s="32" t="s">
        <v>13</v>
      </c>
      <c r="J27" s="33"/>
      <c r="K27" s="33"/>
      <c r="L27" s="33"/>
      <c r="M27" s="33" t="n">
        <f aca="false">MIN(J27:L27)</f>
        <v>0</v>
      </c>
      <c r="N27" s="34" t="n">
        <f aca="false">SUM(M27/E27)</f>
        <v>0</v>
      </c>
    </row>
    <row r="28" s="25" customFormat="true" ht="12.75" hidden="false" customHeight="false" outlineLevel="0" collapsed="false">
      <c r="C28" s="26" t="s">
        <v>48</v>
      </c>
      <c r="D28" s="27"/>
      <c r="E28" s="28" t="n">
        <v>1</v>
      </c>
      <c r="F28" s="29"/>
      <c r="G28" s="50" t="n">
        <v>1</v>
      </c>
      <c r="H28" s="35"/>
      <c r="I28" s="32" t="s">
        <v>13</v>
      </c>
      <c r="J28" s="33"/>
      <c r="K28" s="33"/>
      <c r="L28" s="33"/>
      <c r="M28" s="33" t="n">
        <f aca="false">MIN(J28:L28)</f>
        <v>0</v>
      </c>
      <c r="N28" s="34" t="n">
        <f aca="false">SUM(M28/E28)</f>
        <v>0</v>
      </c>
    </row>
    <row r="29" s="25" customFormat="true" ht="12.75" hidden="false" customHeight="false" outlineLevel="0" collapsed="false">
      <c r="C29" s="26" t="s">
        <v>49</v>
      </c>
      <c r="D29" s="27"/>
      <c r="E29" s="28" t="n">
        <v>1</v>
      </c>
      <c r="F29" s="29"/>
      <c r="G29" s="50" t="n">
        <v>1</v>
      </c>
      <c r="H29" s="35"/>
      <c r="I29" s="32" t="s">
        <v>13</v>
      </c>
      <c r="J29" s="33"/>
      <c r="K29" s="33"/>
      <c r="L29" s="33"/>
      <c r="M29" s="33" t="n">
        <f aca="false">MIN(J29:L29)</f>
        <v>0</v>
      </c>
      <c r="N29" s="34" t="n">
        <f aca="false">SUM(M29/E29)</f>
        <v>0</v>
      </c>
    </row>
    <row r="30" s="25" customFormat="true" ht="12.75" hidden="false" customHeight="false" outlineLevel="0" collapsed="false">
      <c r="C30" s="36" t="s">
        <v>50</v>
      </c>
      <c r="D30" s="27"/>
      <c r="E30" s="28" t="n">
        <v>1</v>
      </c>
      <c r="F30" s="29"/>
      <c r="G30" s="50" t="n">
        <v>1</v>
      </c>
      <c r="H30" s="35"/>
      <c r="I30" s="32" t="s">
        <v>13</v>
      </c>
      <c r="J30" s="33"/>
      <c r="K30" s="33"/>
      <c r="L30" s="33"/>
      <c r="M30" s="33" t="n">
        <f aca="false">MIN(J30:L30)</f>
        <v>0</v>
      </c>
      <c r="N30" s="34" t="n">
        <f aca="false">SUM(M30/E30)</f>
        <v>0</v>
      </c>
    </row>
    <row r="31" s="25" customFormat="true" ht="12.75" hidden="false" customHeight="false" outlineLevel="0" collapsed="false">
      <c r="C31" s="37" t="s">
        <v>51</v>
      </c>
      <c r="D31" s="27"/>
      <c r="E31" s="28" t="n">
        <v>1</v>
      </c>
      <c r="F31" s="29"/>
      <c r="G31" s="50" t="n">
        <v>1</v>
      </c>
      <c r="H31" s="35"/>
      <c r="I31" s="32" t="s">
        <v>13</v>
      </c>
      <c r="J31" s="33"/>
      <c r="K31" s="33"/>
      <c r="L31" s="33"/>
      <c r="M31" s="33" t="n">
        <f aca="false">MIN(J31:L31)</f>
        <v>0</v>
      </c>
      <c r="N31" s="34" t="n">
        <f aca="false">SUM(M31/E31)</f>
        <v>0</v>
      </c>
    </row>
    <row r="32" s="25" customFormat="true" ht="12.75" hidden="false" customHeight="false" outlineLevel="0" collapsed="false">
      <c r="C32" s="37" t="s">
        <v>52</v>
      </c>
      <c r="D32" s="27"/>
      <c r="E32" s="28" t="n">
        <v>1</v>
      </c>
      <c r="F32" s="29"/>
      <c r="G32" s="50" t="n">
        <v>1</v>
      </c>
      <c r="H32" s="35"/>
      <c r="I32" s="32" t="s">
        <v>13</v>
      </c>
      <c r="J32" s="33"/>
      <c r="K32" s="33"/>
      <c r="L32" s="33"/>
      <c r="M32" s="33" t="n">
        <f aca="false">MIN(J32:L32)</f>
        <v>0</v>
      </c>
      <c r="N32" s="34" t="n">
        <f aca="false">SUM(M32/E32)</f>
        <v>0</v>
      </c>
    </row>
    <row r="33" s="25" customFormat="true" ht="12.75" hidden="false" customHeight="false" outlineLevel="0" collapsed="false">
      <c r="C33" s="37" t="s">
        <v>53</v>
      </c>
      <c r="D33" s="27"/>
      <c r="E33" s="28" t="n">
        <v>1</v>
      </c>
      <c r="F33" s="29"/>
      <c r="G33" s="50" t="n">
        <v>1</v>
      </c>
      <c r="H33" s="35"/>
      <c r="I33" s="32" t="s">
        <v>13</v>
      </c>
      <c r="J33" s="33"/>
      <c r="K33" s="33"/>
      <c r="L33" s="33"/>
      <c r="M33" s="33" t="n">
        <f aca="false">MIN(J33:L33)</f>
        <v>0</v>
      </c>
      <c r="N33" s="34" t="n">
        <f aca="false">SUM(M33/E33)</f>
        <v>0</v>
      </c>
    </row>
    <row r="34" s="25" customFormat="true" ht="12.75" hidden="false" customHeight="false" outlineLevel="0" collapsed="false">
      <c r="C34" s="37" t="s">
        <v>54</v>
      </c>
      <c r="D34" s="27"/>
      <c r="E34" s="28" t="n">
        <v>1</v>
      </c>
      <c r="F34" s="29"/>
      <c r="G34" s="50" t="n">
        <v>1</v>
      </c>
      <c r="H34" s="35"/>
      <c r="I34" s="32" t="s">
        <v>13</v>
      </c>
      <c r="J34" s="33"/>
      <c r="K34" s="33"/>
      <c r="L34" s="33"/>
      <c r="M34" s="33" t="n">
        <f aca="false">MIN(J34:L34)</f>
        <v>0</v>
      </c>
      <c r="N34" s="34" t="n">
        <f aca="false">SUM(M34/E34)</f>
        <v>0</v>
      </c>
    </row>
    <row r="35" s="2" customFormat="true" ht="12.75" hidden="false" customHeight="true" outlineLevel="0" collapsed="false">
      <c r="C35" s="41" t="s">
        <v>55</v>
      </c>
      <c r="D35" s="41"/>
      <c r="E35" s="42"/>
      <c r="F35" s="42"/>
      <c r="G35" s="42"/>
      <c r="H35" s="43"/>
      <c r="I35" s="44" t="s">
        <v>4</v>
      </c>
      <c r="J35" s="45"/>
      <c r="K35" s="45"/>
      <c r="L35" s="45"/>
      <c r="M35" s="33" t="n">
        <f aca="false">MIN(J35:L35)</f>
        <v>0</v>
      </c>
      <c r="N35" s="34" t="e">
        <f aca="false">SUM(M35/E35)</f>
        <v>#DIV/0!</v>
      </c>
    </row>
    <row r="36" s="2" customFormat="true" ht="15" hidden="false" customHeight="true" outlineLevel="0" collapsed="false">
      <c r="C36" s="41"/>
      <c r="D36" s="41"/>
      <c r="E36" s="46" t="s">
        <v>56</v>
      </c>
      <c r="F36" s="47" t="s">
        <v>6</v>
      </c>
      <c r="G36" s="48" t="s">
        <v>7</v>
      </c>
      <c r="H36" s="49" t="s">
        <v>8</v>
      </c>
      <c r="I36" s="44"/>
      <c r="J36" s="45"/>
      <c r="K36" s="45"/>
      <c r="L36" s="45"/>
      <c r="M36" s="33" t="n">
        <f aca="false">MIN(J36:L36)</f>
        <v>0</v>
      </c>
      <c r="N36" s="34" t="e">
        <f aca="false">SUM(M36/E36)</f>
        <v>#VALUE!</v>
      </c>
    </row>
    <row r="37" s="25" customFormat="true" ht="12.75" hidden="false" customHeight="false" outlineLevel="0" collapsed="false">
      <c r="C37" s="37" t="s">
        <v>57</v>
      </c>
      <c r="D37" s="27"/>
      <c r="E37" s="28" t="s">
        <v>58</v>
      </c>
      <c r="F37" s="29"/>
      <c r="G37" s="51" t="s">
        <v>18</v>
      </c>
      <c r="H37" s="35"/>
      <c r="I37" s="32" t="s">
        <v>13</v>
      </c>
      <c r="J37" s="33"/>
      <c r="K37" s="33"/>
      <c r="L37" s="33"/>
      <c r="M37" s="33" t="n">
        <f aca="false">MIN(J37:L37)</f>
        <v>0</v>
      </c>
      <c r="N37" s="34" t="e">
        <f aca="false">SUM(M37/E37)</f>
        <v>#VALUE!</v>
      </c>
    </row>
    <row r="38" s="25" customFormat="true" ht="12.75" hidden="false" customHeight="false" outlineLevel="0" collapsed="false">
      <c r="C38" s="37" t="s">
        <v>59</v>
      </c>
      <c r="D38" s="27"/>
      <c r="E38" s="28" t="s">
        <v>24</v>
      </c>
      <c r="F38" s="29"/>
      <c r="G38" s="51" t="s">
        <v>60</v>
      </c>
      <c r="H38" s="35"/>
      <c r="I38" s="32" t="s">
        <v>13</v>
      </c>
      <c r="J38" s="33"/>
      <c r="K38" s="33"/>
      <c r="L38" s="33"/>
      <c r="M38" s="33" t="n">
        <f aca="false">MIN(J38:L38)</f>
        <v>0</v>
      </c>
      <c r="N38" s="34" t="e">
        <f aca="false">SUM(M38/E38)</f>
        <v>#VALUE!</v>
      </c>
    </row>
    <row r="39" s="25" customFormat="true" ht="12.75" hidden="false" customHeight="false" outlineLevel="0" collapsed="false">
      <c r="C39" s="37" t="s">
        <v>61</v>
      </c>
      <c r="D39" s="27"/>
      <c r="E39" s="28" t="s">
        <v>28</v>
      </c>
      <c r="F39" s="29"/>
      <c r="G39" s="51" t="s">
        <v>29</v>
      </c>
      <c r="H39" s="35"/>
      <c r="I39" s="32" t="s">
        <v>13</v>
      </c>
      <c r="J39" s="33"/>
      <c r="K39" s="33"/>
      <c r="L39" s="33"/>
      <c r="M39" s="33" t="n">
        <f aca="false">MIN(J39:L39)</f>
        <v>0</v>
      </c>
      <c r="N39" s="34" t="e">
        <f aca="false">SUM(M39/E39)</f>
        <v>#VALUE!</v>
      </c>
    </row>
    <row r="40" s="25" customFormat="true" ht="12.75" hidden="false" customHeight="false" outlineLevel="0" collapsed="false">
      <c r="C40" s="37" t="s">
        <v>62</v>
      </c>
      <c r="D40" s="27"/>
      <c r="E40" s="28" t="s">
        <v>28</v>
      </c>
      <c r="F40" s="29"/>
      <c r="G40" s="51" t="s">
        <v>29</v>
      </c>
      <c r="H40" s="35"/>
      <c r="I40" s="32" t="s">
        <v>13</v>
      </c>
      <c r="J40" s="33"/>
      <c r="K40" s="33"/>
      <c r="L40" s="33"/>
      <c r="M40" s="33"/>
      <c r="N40" s="34"/>
    </row>
    <row r="41" s="25" customFormat="true" ht="12.75" hidden="false" customHeight="false" outlineLevel="0" collapsed="false">
      <c r="C41" s="37" t="s">
        <v>63</v>
      </c>
      <c r="D41" s="27"/>
      <c r="E41" s="28" t="s">
        <v>64</v>
      </c>
      <c r="F41" s="29"/>
      <c r="G41" s="51" t="s">
        <v>18</v>
      </c>
      <c r="H41" s="35"/>
      <c r="I41" s="32" t="s">
        <v>13</v>
      </c>
      <c r="J41" s="33"/>
      <c r="K41" s="33"/>
      <c r="L41" s="33"/>
      <c r="M41" s="33"/>
      <c r="N41" s="34"/>
    </row>
    <row r="42" s="25" customFormat="true" ht="12.75" hidden="false" customHeight="false" outlineLevel="0" collapsed="false">
      <c r="C42" s="37"/>
      <c r="D42" s="27"/>
      <c r="E42" s="28"/>
      <c r="F42" s="29"/>
      <c r="G42" s="51"/>
      <c r="H42" s="35"/>
      <c r="I42" s="32" t="s">
        <v>13</v>
      </c>
      <c r="J42" s="33"/>
      <c r="K42" s="33"/>
      <c r="L42" s="33"/>
      <c r="M42" s="33"/>
      <c r="N42" s="34"/>
    </row>
    <row r="43" s="25" customFormat="true" ht="12.75" hidden="false" customHeight="false" outlineLevel="0" collapsed="false">
      <c r="C43" s="37" t="s">
        <v>65</v>
      </c>
      <c r="D43" s="27"/>
      <c r="E43" s="28" t="s">
        <v>28</v>
      </c>
      <c r="F43" s="29"/>
      <c r="G43" s="51" t="s">
        <v>18</v>
      </c>
      <c r="H43" s="35"/>
      <c r="I43" s="32" t="s">
        <v>13</v>
      </c>
      <c r="J43" s="33"/>
      <c r="K43" s="33"/>
      <c r="L43" s="33"/>
      <c r="M43" s="33"/>
      <c r="N43" s="34"/>
    </row>
    <row r="44" s="25" customFormat="true" ht="12.75" hidden="false" customHeight="false" outlineLevel="0" collapsed="false">
      <c r="C44" s="37"/>
      <c r="D44" s="27"/>
      <c r="E44" s="28"/>
      <c r="F44" s="29"/>
      <c r="G44" s="51"/>
      <c r="H44" s="35"/>
      <c r="I44" s="32"/>
      <c r="J44" s="33"/>
      <c r="K44" s="33"/>
      <c r="L44" s="33"/>
      <c r="M44" s="33"/>
      <c r="N44" s="34"/>
    </row>
    <row r="45" s="25" customFormat="true" ht="12.75" hidden="false" customHeight="false" outlineLevel="0" collapsed="false">
      <c r="C45" s="37" t="s">
        <v>66</v>
      </c>
      <c r="D45" s="27"/>
      <c r="E45" s="28" t="s">
        <v>28</v>
      </c>
      <c r="F45" s="29"/>
      <c r="G45" s="51" t="s">
        <v>29</v>
      </c>
      <c r="H45" s="35"/>
      <c r="I45" s="32" t="s">
        <v>13</v>
      </c>
      <c r="J45" s="33"/>
      <c r="K45" s="33"/>
      <c r="L45" s="33"/>
      <c r="M45" s="33"/>
      <c r="N45" s="34"/>
    </row>
    <row r="46" s="25" customFormat="true" ht="12.75" hidden="false" customHeight="false" outlineLevel="0" collapsed="false">
      <c r="C46" s="37"/>
      <c r="D46" s="29"/>
      <c r="E46" s="28"/>
      <c r="F46" s="29"/>
      <c r="G46" s="51"/>
      <c r="H46" s="35"/>
      <c r="I46" s="32"/>
      <c r="J46" s="33"/>
      <c r="K46" s="33"/>
      <c r="L46" s="33"/>
      <c r="M46" s="33" t="n">
        <f aca="false">MIN(J46:L46)</f>
        <v>0</v>
      </c>
      <c r="N46" s="34" t="e">
        <f aca="false">SUM(M46/E46)</f>
        <v>#DIV/0!</v>
      </c>
    </row>
    <row r="47" s="2" customFormat="true" ht="12.75" hidden="false" customHeight="true" outlineLevel="0" collapsed="false">
      <c r="C47" s="41" t="s">
        <v>67</v>
      </c>
      <c r="D47" s="41"/>
      <c r="E47" s="42"/>
      <c r="F47" s="42"/>
      <c r="G47" s="42"/>
      <c r="H47" s="43"/>
      <c r="I47" s="44" t="s">
        <v>4</v>
      </c>
      <c r="J47" s="45"/>
      <c r="K47" s="45"/>
      <c r="L47" s="45"/>
      <c r="M47" s="33" t="n">
        <f aca="false">MIN(J47:L47)</f>
        <v>0</v>
      </c>
      <c r="N47" s="34" t="e">
        <f aca="false">SUM(M47/E47)</f>
        <v>#DIV/0!</v>
      </c>
    </row>
    <row r="48" s="2" customFormat="true" ht="15" hidden="false" customHeight="true" outlineLevel="0" collapsed="false">
      <c r="C48" s="41"/>
      <c r="D48" s="41"/>
      <c r="E48" s="46" t="s">
        <v>6</v>
      </c>
      <c r="F48" s="47"/>
      <c r="G48" s="48" t="s">
        <v>7</v>
      </c>
      <c r="H48" s="49" t="s">
        <v>8</v>
      </c>
      <c r="I48" s="44"/>
      <c r="J48" s="45"/>
      <c r="K48" s="45"/>
      <c r="L48" s="45"/>
      <c r="M48" s="33" t="n">
        <f aca="false">MIN(J48:L48)</f>
        <v>0</v>
      </c>
      <c r="N48" s="34" t="e">
        <f aca="false">SUM(M48/E48)</f>
        <v>#VALUE!</v>
      </c>
    </row>
    <row r="49" s="25" customFormat="true" ht="12.75" hidden="false" customHeight="false" outlineLevel="0" collapsed="false">
      <c r="C49" s="37" t="s">
        <v>68</v>
      </c>
      <c r="D49" s="27"/>
      <c r="E49" s="28" t="s">
        <v>69</v>
      </c>
      <c r="F49" s="29"/>
      <c r="G49" s="51" t="s">
        <v>34</v>
      </c>
      <c r="H49" s="35"/>
      <c r="I49" s="32" t="s">
        <v>13</v>
      </c>
      <c r="J49" s="33"/>
      <c r="K49" s="33"/>
      <c r="L49" s="33"/>
      <c r="M49" s="33" t="n">
        <f aca="false">MIN(J49:L49)</f>
        <v>0</v>
      </c>
      <c r="N49" s="34" t="e">
        <f aca="false">SUM(M49/E49)</f>
        <v>#VALUE!</v>
      </c>
    </row>
    <row r="50" s="25" customFormat="true" ht="12.75" hidden="false" customHeight="false" outlineLevel="0" collapsed="false">
      <c r="C50" s="37" t="s">
        <v>70</v>
      </c>
      <c r="D50" s="27"/>
      <c r="E50" s="28" t="s">
        <v>71</v>
      </c>
      <c r="F50" s="29"/>
      <c r="G50" s="51" t="s">
        <v>72</v>
      </c>
      <c r="H50" s="35"/>
      <c r="I50" s="32" t="s">
        <v>13</v>
      </c>
      <c r="J50" s="33"/>
      <c r="K50" s="33"/>
      <c r="L50" s="33"/>
      <c r="M50" s="33" t="n">
        <f aca="false">MIN(J50:L50)</f>
        <v>0</v>
      </c>
      <c r="N50" s="34" t="e">
        <f aca="false">SUM(M50/E50)</f>
        <v>#VALUE!</v>
      </c>
    </row>
    <row r="51" s="25" customFormat="true" ht="12.75" hidden="false" customHeight="false" outlineLevel="0" collapsed="false">
      <c r="C51" s="37" t="s">
        <v>73</v>
      </c>
      <c r="D51" s="27"/>
      <c r="E51" s="28" t="s">
        <v>74</v>
      </c>
      <c r="F51" s="29"/>
      <c r="G51" s="51" t="s">
        <v>18</v>
      </c>
      <c r="H51" s="35"/>
      <c r="I51" s="32" t="s">
        <v>13</v>
      </c>
      <c r="J51" s="33"/>
      <c r="K51" s="33"/>
      <c r="L51" s="33"/>
      <c r="M51" s="33"/>
      <c r="N51" s="34"/>
    </row>
    <row r="52" s="25" customFormat="true" ht="12.75" hidden="false" customHeight="false" outlineLevel="0" collapsed="false">
      <c r="C52" s="37" t="s">
        <v>75</v>
      </c>
      <c r="D52" s="27"/>
      <c r="E52" s="28" t="s">
        <v>76</v>
      </c>
      <c r="F52" s="29"/>
      <c r="G52" s="51" t="s">
        <v>72</v>
      </c>
      <c r="H52" s="35"/>
      <c r="I52" s="32" t="s">
        <v>13</v>
      </c>
      <c r="J52" s="33"/>
      <c r="K52" s="33"/>
      <c r="L52" s="33"/>
      <c r="M52" s="33"/>
      <c r="N52" s="34"/>
    </row>
    <row r="53" s="25" customFormat="true" ht="12.75" hidden="false" customHeight="false" outlineLevel="0" collapsed="false">
      <c r="C53" s="37" t="s">
        <v>77</v>
      </c>
      <c r="D53" s="27"/>
      <c r="E53" s="28" t="s">
        <v>28</v>
      </c>
      <c r="F53" s="29"/>
      <c r="G53" s="51" t="s">
        <v>18</v>
      </c>
      <c r="H53" s="35"/>
      <c r="I53" s="32" t="s">
        <v>13</v>
      </c>
      <c r="J53" s="33"/>
      <c r="K53" s="33"/>
      <c r="L53" s="33"/>
      <c r="M53" s="33"/>
      <c r="N53" s="34"/>
    </row>
    <row r="54" s="25" customFormat="true" ht="12.75" hidden="false" customHeight="false" outlineLevel="0" collapsed="false">
      <c r="C54" s="37" t="s">
        <v>78</v>
      </c>
      <c r="D54" s="27"/>
      <c r="E54" s="28" t="s">
        <v>79</v>
      </c>
      <c r="F54" s="29"/>
      <c r="G54" s="51" t="s">
        <v>34</v>
      </c>
      <c r="H54" s="35"/>
      <c r="I54" s="32" t="s">
        <v>13</v>
      </c>
      <c r="J54" s="33"/>
      <c r="K54" s="33"/>
      <c r="L54" s="33"/>
      <c r="M54" s="33"/>
      <c r="N54" s="34"/>
    </row>
    <row r="55" s="25" customFormat="true" ht="12.75" hidden="false" customHeight="false" outlineLevel="0" collapsed="false">
      <c r="C55" s="37" t="s">
        <v>80</v>
      </c>
      <c r="D55" s="27"/>
      <c r="E55" s="28" t="s">
        <v>81</v>
      </c>
      <c r="F55" s="29"/>
      <c r="G55" s="51" t="s">
        <v>18</v>
      </c>
      <c r="H55" s="35"/>
      <c r="I55" s="32" t="s">
        <v>13</v>
      </c>
      <c r="J55" s="33"/>
      <c r="K55" s="33"/>
      <c r="L55" s="33"/>
      <c r="M55" s="33"/>
      <c r="N55" s="34"/>
    </row>
    <row r="56" s="25" customFormat="true" ht="12.75" hidden="false" customHeight="false" outlineLevel="0" collapsed="false">
      <c r="C56" s="37" t="s">
        <v>82</v>
      </c>
      <c r="D56" s="27"/>
      <c r="E56" s="28" t="s">
        <v>71</v>
      </c>
      <c r="F56" s="29"/>
      <c r="G56" s="51" t="s">
        <v>18</v>
      </c>
      <c r="H56" s="35"/>
      <c r="I56" s="32" t="s">
        <v>13</v>
      </c>
      <c r="J56" s="33"/>
      <c r="K56" s="33"/>
      <c r="L56" s="33"/>
      <c r="M56" s="33"/>
      <c r="N56" s="34"/>
    </row>
    <row r="57" s="25" customFormat="true" ht="12.75" hidden="false" customHeight="false" outlineLevel="0" collapsed="false">
      <c r="C57" s="37" t="s">
        <v>83</v>
      </c>
      <c r="D57" s="27"/>
      <c r="E57" s="28" t="s">
        <v>84</v>
      </c>
      <c r="F57" s="29"/>
      <c r="G57" s="51" t="s">
        <v>84</v>
      </c>
      <c r="H57" s="35"/>
      <c r="I57" s="32" t="s">
        <v>13</v>
      </c>
      <c r="J57" s="33"/>
      <c r="K57" s="33"/>
      <c r="L57" s="33"/>
      <c r="M57" s="33"/>
      <c r="N57" s="34"/>
    </row>
    <row r="58" s="25" customFormat="true" ht="12.75" hidden="false" customHeight="false" outlineLevel="0" collapsed="false">
      <c r="C58" s="37" t="s">
        <v>85</v>
      </c>
      <c r="D58" s="27"/>
      <c r="E58" s="28" t="s">
        <v>86</v>
      </c>
      <c r="F58" s="29"/>
      <c r="G58" s="51" t="s">
        <v>87</v>
      </c>
      <c r="H58" s="35"/>
      <c r="I58" s="32" t="s">
        <v>13</v>
      </c>
      <c r="J58" s="33"/>
      <c r="K58" s="33"/>
      <c r="L58" s="33"/>
      <c r="M58" s="33"/>
      <c r="N58" s="34"/>
    </row>
    <row r="59" s="25" customFormat="true" ht="12.75" hidden="false" customHeight="false" outlineLevel="0" collapsed="false">
      <c r="C59" s="37" t="s">
        <v>88</v>
      </c>
      <c r="D59" s="27"/>
      <c r="E59" s="28" t="n">
        <v>1</v>
      </c>
      <c r="F59" s="29"/>
      <c r="G59" s="51" t="s">
        <v>89</v>
      </c>
      <c r="H59" s="35"/>
      <c r="I59" s="32" t="s">
        <v>13</v>
      </c>
      <c r="J59" s="33"/>
      <c r="K59" s="33"/>
      <c r="L59" s="33"/>
      <c r="M59" s="33"/>
      <c r="N59" s="34"/>
    </row>
    <row r="60" s="25" customFormat="true" ht="12.75" hidden="false" customHeight="false" outlineLevel="0" collapsed="false">
      <c r="C60" s="37"/>
      <c r="D60" s="27"/>
      <c r="E60" s="28"/>
      <c r="F60" s="29"/>
      <c r="G60" s="51"/>
      <c r="H60" s="35"/>
      <c r="I60" s="32" t="s">
        <v>13</v>
      </c>
      <c r="J60" s="33"/>
      <c r="K60" s="33"/>
      <c r="L60" s="33"/>
      <c r="M60" s="33"/>
      <c r="N60" s="34"/>
    </row>
    <row r="61" s="25" customFormat="true" ht="12.75" hidden="false" customHeight="false" outlineLevel="0" collapsed="false">
      <c r="C61" s="37" t="s">
        <v>90</v>
      </c>
      <c r="D61" s="27"/>
      <c r="E61" s="28" t="s">
        <v>91</v>
      </c>
      <c r="F61" s="29"/>
      <c r="G61" s="51" t="s">
        <v>92</v>
      </c>
      <c r="H61" s="35"/>
      <c r="I61" s="32" t="s">
        <v>93</v>
      </c>
      <c r="J61" s="33"/>
      <c r="K61" s="33"/>
      <c r="L61" s="33"/>
      <c r="M61" s="33"/>
      <c r="N61" s="34"/>
    </row>
    <row r="62" s="25" customFormat="true" ht="12.75" hidden="false" customHeight="false" outlineLevel="0" collapsed="false">
      <c r="C62" s="37" t="s">
        <v>94</v>
      </c>
      <c r="D62" s="27"/>
      <c r="E62" s="28" t="s">
        <v>58</v>
      </c>
      <c r="F62" s="29"/>
      <c r="G62" s="51" t="s">
        <v>18</v>
      </c>
      <c r="H62" s="35"/>
      <c r="I62" s="32" t="s">
        <v>13</v>
      </c>
      <c r="J62" s="33"/>
      <c r="K62" s="33"/>
      <c r="L62" s="33"/>
      <c r="M62" s="33"/>
      <c r="N62" s="34"/>
    </row>
    <row r="63" s="25" customFormat="true" ht="12.75" hidden="false" customHeight="false" outlineLevel="0" collapsed="false">
      <c r="C63" s="37" t="s">
        <v>95</v>
      </c>
      <c r="D63" s="27"/>
      <c r="E63" s="28" t="s">
        <v>91</v>
      </c>
      <c r="F63" s="29"/>
      <c r="G63" s="51" t="s">
        <v>91</v>
      </c>
      <c r="H63" s="35"/>
      <c r="I63" s="32" t="s">
        <v>96</v>
      </c>
      <c r="J63" s="33"/>
      <c r="K63" s="33"/>
      <c r="L63" s="33"/>
      <c r="M63" s="33"/>
      <c r="N63" s="34"/>
    </row>
    <row r="64" s="25" customFormat="true" ht="12.75" hidden="false" customHeight="false" outlineLevel="0" collapsed="false">
      <c r="C64" s="37" t="s">
        <v>97</v>
      </c>
      <c r="D64" s="27"/>
      <c r="E64" s="28" t="s">
        <v>76</v>
      </c>
      <c r="F64" s="29"/>
      <c r="G64" s="51" t="s">
        <v>98</v>
      </c>
      <c r="H64" s="35"/>
      <c r="I64" s="32" t="s">
        <v>13</v>
      </c>
      <c r="J64" s="33"/>
      <c r="K64" s="33"/>
      <c r="L64" s="33"/>
      <c r="M64" s="33"/>
      <c r="N64" s="34"/>
    </row>
    <row r="65" s="25" customFormat="true" ht="12.75" hidden="false" customHeight="false" outlineLevel="0" collapsed="false">
      <c r="C65" s="37" t="s">
        <v>99</v>
      </c>
      <c r="D65" s="27"/>
      <c r="E65" s="28" t="s">
        <v>100</v>
      </c>
      <c r="F65" s="29"/>
      <c r="G65" s="51" t="s">
        <v>87</v>
      </c>
      <c r="H65" s="35"/>
      <c r="I65" s="32" t="s">
        <v>13</v>
      </c>
      <c r="J65" s="33"/>
      <c r="K65" s="33"/>
      <c r="L65" s="33"/>
      <c r="M65" s="33"/>
      <c r="N65" s="34"/>
    </row>
    <row r="66" s="25" customFormat="true" ht="12.75" hidden="false" customHeight="false" outlineLevel="0" collapsed="false">
      <c r="C66" s="37" t="s">
        <v>101</v>
      </c>
      <c r="D66" s="27"/>
      <c r="E66" s="28" t="s">
        <v>102</v>
      </c>
      <c r="F66" s="29"/>
      <c r="G66" s="51" t="s">
        <v>18</v>
      </c>
      <c r="H66" s="35"/>
      <c r="I66" s="32" t="s">
        <v>13</v>
      </c>
      <c r="J66" s="33"/>
      <c r="K66" s="33"/>
      <c r="L66" s="33"/>
      <c r="M66" s="33"/>
      <c r="N66" s="34"/>
    </row>
    <row r="67" s="25" customFormat="true" ht="12.75" hidden="false" customHeight="false" outlineLevel="0" collapsed="false">
      <c r="C67" s="37" t="s">
        <v>103</v>
      </c>
      <c r="D67" s="27"/>
      <c r="E67" s="28" t="s">
        <v>41</v>
      </c>
      <c r="F67" s="29"/>
      <c r="G67" s="51" t="s">
        <v>18</v>
      </c>
      <c r="H67" s="35"/>
      <c r="I67" s="32" t="s">
        <v>13</v>
      </c>
      <c r="J67" s="33"/>
      <c r="K67" s="33"/>
      <c r="L67" s="33"/>
      <c r="M67" s="33"/>
      <c r="N67" s="34"/>
    </row>
    <row r="68" s="25" customFormat="true" ht="12.75" hidden="false" customHeight="false" outlineLevel="0" collapsed="false">
      <c r="C68" s="37" t="s">
        <v>104</v>
      </c>
      <c r="D68" s="27"/>
      <c r="E68" s="28" t="s">
        <v>105</v>
      </c>
      <c r="F68" s="29"/>
      <c r="G68" s="51" t="s">
        <v>89</v>
      </c>
      <c r="H68" s="35"/>
      <c r="I68" s="32" t="s">
        <v>93</v>
      </c>
      <c r="J68" s="33"/>
      <c r="K68" s="33"/>
      <c r="L68" s="33"/>
      <c r="M68" s="33"/>
      <c r="N68" s="34"/>
    </row>
    <row r="69" s="25" customFormat="true" ht="12.75" hidden="false" customHeight="false" outlineLevel="0" collapsed="false">
      <c r="C69" s="37" t="s">
        <v>106</v>
      </c>
      <c r="D69" s="27"/>
      <c r="E69" s="28" t="s">
        <v>58</v>
      </c>
      <c r="F69" s="29"/>
      <c r="G69" s="51" t="s">
        <v>18</v>
      </c>
      <c r="H69" s="35"/>
      <c r="I69" s="32" t="s">
        <v>13</v>
      </c>
      <c r="J69" s="33"/>
      <c r="K69" s="33"/>
      <c r="L69" s="33"/>
      <c r="M69" s="33"/>
      <c r="N69" s="34"/>
    </row>
    <row r="70" s="25" customFormat="true" ht="12.75" hidden="false" customHeight="false" outlineLevel="0" collapsed="false">
      <c r="C70" s="37" t="s">
        <v>107</v>
      </c>
      <c r="D70" s="27"/>
      <c r="E70" s="28" t="s">
        <v>41</v>
      </c>
      <c r="F70" s="29"/>
      <c r="G70" s="51" t="s">
        <v>18</v>
      </c>
      <c r="H70" s="35"/>
      <c r="I70" s="32" t="s">
        <v>13</v>
      </c>
      <c r="J70" s="33"/>
      <c r="K70" s="33"/>
      <c r="L70" s="33"/>
      <c r="M70" s="33"/>
      <c r="N70" s="34"/>
    </row>
    <row r="71" s="25" customFormat="true" ht="12.75" hidden="false" customHeight="false" outlineLevel="0" collapsed="false">
      <c r="C71" s="37" t="s">
        <v>108</v>
      </c>
      <c r="D71" s="27"/>
      <c r="E71" s="28" t="s">
        <v>71</v>
      </c>
      <c r="F71" s="29"/>
      <c r="G71" s="51" t="s">
        <v>89</v>
      </c>
      <c r="H71" s="35"/>
      <c r="I71" s="32" t="s">
        <v>93</v>
      </c>
      <c r="J71" s="33"/>
      <c r="K71" s="33"/>
      <c r="L71" s="33"/>
      <c r="M71" s="33"/>
      <c r="N71" s="34"/>
    </row>
    <row r="72" s="25" customFormat="true" ht="12.75" hidden="false" customHeight="false" outlineLevel="0" collapsed="false">
      <c r="C72" s="37"/>
      <c r="D72" s="27"/>
      <c r="E72" s="28"/>
      <c r="F72" s="29"/>
      <c r="G72" s="51"/>
      <c r="H72" s="35"/>
      <c r="I72" s="32" t="s">
        <v>13</v>
      </c>
      <c r="J72" s="33"/>
      <c r="K72" s="33"/>
      <c r="L72" s="33"/>
      <c r="M72" s="33"/>
      <c r="N72" s="34"/>
    </row>
    <row r="73" s="25" customFormat="true" ht="12.75" hidden="false" customHeight="false" outlineLevel="0" collapsed="false">
      <c r="C73" s="37" t="s">
        <v>109</v>
      </c>
      <c r="D73" s="27"/>
      <c r="E73" s="28" t="s">
        <v>28</v>
      </c>
      <c r="F73" s="29"/>
      <c r="G73" s="51" t="s">
        <v>29</v>
      </c>
      <c r="H73" s="35"/>
      <c r="I73" s="32" t="s">
        <v>13</v>
      </c>
      <c r="J73" s="33"/>
      <c r="K73" s="33"/>
      <c r="L73" s="33"/>
      <c r="M73" s="33"/>
      <c r="N73" s="34"/>
    </row>
    <row r="74" s="25" customFormat="true" ht="12.75" hidden="false" customHeight="false" outlineLevel="0" collapsed="false">
      <c r="C74" s="37" t="s">
        <v>110</v>
      </c>
      <c r="D74" s="27"/>
      <c r="E74" s="28" t="s">
        <v>76</v>
      </c>
      <c r="F74" s="29"/>
      <c r="G74" s="51" t="s">
        <v>76</v>
      </c>
      <c r="H74" s="35"/>
      <c r="I74" s="32" t="s">
        <v>93</v>
      </c>
      <c r="J74" s="33"/>
      <c r="K74" s="33"/>
      <c r="L74" s="33"/>
      <c r="M74" s="33"/>
      <c r="N74" s="34"/>
    </row>
    <row r="75" s="25" customFormat="true" ht="12.75" hidden="false" customHeight="false" outlineLevel="0" collapsed="false">
      <c r="C75" s="37"/>
      <c r="D75" s="27"/>
      <c r="E75" s="28"/>
      <c r="F75" s="29"/>
      <c r="G75" s="51"/>
      <c r="H75" s="35"/>
      <c r="I75" s="32" t="s">
        <v>13</v>
      </c>
      <c r="J75" s="33"/>
      <c r="K75" s="33"/>
      <c r="L75" s="33"/>
      <c r="M75" s="33"/>
      <c r="N75" s="34"/>
    </row>
    <row r="76" s="2" customFormat="true" ht="12.75" hidden="false" customHeight="true" outlineLevel="0" collapsed="false">
      <c r="C76" s="41" t="s">
        <v>111</v>
      </c>
      <c r="D76" s="41"/>
      <c r="E76" s="42"/>
      <c r="F76" s="42"/>
      <c r="G76" s="42"/>
      <c r="H76" s="43"/>
      <c r="I76" s="44" t="s">
        <v>4</v>
      </c>
      <c r="J76" s="45"/>
      <c r="K76" s="45"/>
      <c r="L76" s="45"/>
      <c r="M76" s="33" t="n">
        <f aca="false">MIN(J76:L76)</f>
        <v>0</v>
      </c>
      <c r="N76" s="34" t="e">
        <f aca="false">SUM(M76/E76)</f>
        <v>#DIV/0!</v>
      </c>
    </row>
    <row r="77" s="2" customFormat="true" ht="15" hidden="false" customHeight="true" outlineLevel="0" collapsed="false">
      <c r="C77" s="41"/>
      <c r="D77" s="41"/>
      <c r="E77" s="46" t="s">
        <v>6</v>
      </c>
      <c r="F77" s="47"/>
      <c r="G77" s="48" t="s">
        <v>7</v>
      </c>
      <c r="H77" s="49" t="s">
        <v>8</v>
      </c>
      <c r="I77" s="44"/>
      <c r="J77" s="45"/>
      <c r="K77" s="45"/>
      <c r="L77" s="45"/>
      <c r="M77" s="33" t="n">
        <f aca="false">MIN(J77:L77)</f>
        <v>0</v>
      </c>
      <c r="N77" s="34" t="e">
        <f aca="false">SUM(M77/E77)</f>
        <v>#VALUE!</v>
      </c>
    </row>
    <row r="78" s="25" customFormat="true" ht="12.75" hidden="false" customHeight="false" outlineLevel="0" collapsed="false">
      <c r="C78" s="26" t="s">
        <v>112</v>
      </c>
      <c r="D78" s="27"/>
      <c r="E78" s="28" t="s">
        <v>113</v>
      </c>
      <c r="F78" s="29"/>
      <c r="G78" s="51" t="s">
        <v>114</v>
      </c>
      <c r="H78" s="35"/>
      <c r="I78" s="32" t="s">
        <v>13</v>
      </c>
      <c r="J78" s="33"/>
      <c r="K78" s="33"/>
      <c r="L78" s="33"/>
      <c r="M78" s="33" t="n">
        <f aca="false">MIN(J78:L78)</f>
        <v>0</v>
      </c>
      <c r="N78" s="34" t="e">
        <f aca="false">SUM(M78/E78)</f>
        <v>#VALUE!</v>
      </c>
    </row>
    <row r="79" s="25" customFormat="true" ht="12.75" hidden="false" customHeight="false" outlineLevel="0" collapsed="false">
      <c r="C79" s="26" t="s">
        <v>115</v>
      </c>
      <c r="D79" s="27"/>
      <c r="E79" s="28" t="s">
        <v>113</v>
      </c>
      <c r="F79" s="29"/>
      <c r="G79" s="51" t="s">
        <v>18</v>
      </c>
      <c r="H79" s="35"/>
      <c r="I79" s="32" t="s">
        <v>13</v>
      </c>
      <c r="J79" s="33"/>
      <c r="K79" s="33"/>
      <c r="L79" s="33"/>
      <c r="M79" s="33" t="n">
        <f aca="false">MIN(J79:L79)</f>
        <v>0</v>
      </c>
      <c r="N79" s="34" t="e">
        <f aca="false">SUM(M79/E79)</f>
        <v>#VALUE!</v>
      </c>
    </row>
    <row r="80" s="25" customFormat="true" ht="12.75" hidden="false" customHeight="false" outlineLevel="0" collapsed="false">
      <c r="C80" s="26" t="s">
        <v>116</v>
      </c>
      <c r="D80" s="27"/>
      <c r="E80" s="28" t="s">
        <v>113</v>
      </c>
      <c r="F80" s="29"/>
      <c r="G80" s="51" t="s">
        <v>18</v>
      </c>
      <c r="H80" s="35"/>
      <c r="I80" s="32" t="s">
        <v>13</v>
      </c>
      <c r="J80" s="33"/>
      <c r="K80" s="33"/>
      <c r="L80" s="33"/>
      <c r="M80" s="33" t="n">
        <f aca="false">MIN(J80:L80)</f>
        <v>0</v>
      </c>
      <c r="N80" s="34" t="e">
        <f aca="false">SUM(M80/E80)</f>
        <v>#VALUE!</v>
      </c>
    </row>
    <row r="81" s="25" customFormat="true" ht="12.75" hidden="false" customHeight="false" outlineLevel="0" collapsed="false">
      <c r="C81" s="36"/>
      <c r="D81" s="27"/>
      <c r="E81" s="28"/>
      <c r="F81" s="29"/>
      <c r="G81" s="51"/>
      <c r="H81" s="35"/>
      <c r="I81" s="32" t="s">
        <v>13</v>
      </c>
      <c r="J81" s="33"/>
      <c r="K81" s="33"/>
      <c r="L81" s="33"/>
      <c r="M81" s="33" t="n">
        <f aca="false">MIN(J81:L81)</f>
        <v>0</v>
      </c>
      <c r="N81" s="34" t="e">
        <f aca="false">SUM(M81/E81)</f>
        <v>#DIV/0!</v>
      </c>
    </row>
    <row r="82" s="25" customFormat="true" ht="12.75" hidden="false" customHeight="false" outlineLevel="0" collapsed="false">
      <c r="C82" s="37" t="s">
        <v>117</v>
      </c>
      <c r="D82" s="27"/>
      <c r="E82" s="28" t="s">
        <v>28</v>
      </c>
      <c r="F82" s="29"/>
      <c r="G82" s="51" t="s">
        <v>18</v>
      </c>
      <c r="H82" s="35"/>
      <c r="I82" s="32" t="s">
        <v>13</v>
      </c>
      <c r="J82" s="33"/>
      <c r="K82" s="33"/>
      <c r="L82" s="33"/>
      <c r="M82" s="33" t="n">
        <f aca="false">MIN(J82:L82)</f>
        <v>0</v>
      </c>
      <c r="N82" s="34" t="e">
        <f aca="false">SUM(M82/E82)</f>
        <v>#VALUE!</v>
      </c>
    </row>
    <row r="83" s="25" customFormat="true" ht="12.75" hidden="false" customHeight="false" outlineLevel="0" collapsed="false">
      <c r="C83" s="37" t="s">
        <v>118</v>
      </c>
      <c r="D83" s="27"/>
      <c r="E83" s="28" t="s">
        <v>24</v>
      </c>
      <c r="F83" s="29"/>
      <c r="G83" s="51" t="s">
        <v>18</v>
      </c>
      <c r="H83" s="35"/>
      <c r="I83" s="32" t="s">
        <v>13</v>
      </c>
      <c r="J83" s="33"/>
      <c r="K83" s="33"/>
      <c r="L83" s="33"/>
      <c r="M83" s="33"/>
      <c r="N83" s="34"/>
    </row>
    <row r="84" s="25" customFormat="true" ht="12.75" hidden="false" customHeight="false" outlineLevel="0" collapsed="false">
      <c r="C84" s="37" t="s">
        <v>119</v>
      </c>
      <c r="D84" s="27"/>
      <c r="E84" s="28" t="s">
        <v>89</v>
      </c>
      <c r="F84" s="29"/>
      <c r="G84" s="51" t="s">
        <v>89</v>
      </c>
      <c r="H84" s="35"/>
      <c r="I84" s="32" t="s">
        <v>13</v>
      </c>
      <c r="J84" s="33"/>
      <c r="K84" s="33"/>
      <c r="L84" s="33"/>
      <c r="M84" s="33" t="n">
        <f aca="false">MIN(J84:L84)</f>
        <v>0</v>
      </c>
      <c r="N84" s="34" t="e">
        <f aca="false">SUM(M84/E84)</f>
        <v>#VALUE!</v>
      </c>
    </row>
    <row r="85" s="25" customFormat="true" ht="12.75" hidden="false" customHeight="false" outlineLevel="0" collapsed="false">
      <c r="C85" s="37"/>
      <c r="D85" s="27"/>
      <c r="E85" s="28"/>
      <c r="F85" s="29"/>
      <c r="G85" s="51"/>
      <c r="H85" s="35"/>
      <c r="I85" s="32" t="s">
        <v>13</v>
      </c>
      <c r="J85" s="33"/>
      <c r="K85" s="33"/>
      <c r="L85" s="33"/>
      <c r="M85" s="33"/>
      <c r="N85" s="34"/>
    </row>
    <row r="86" s="25" customFormat="true" ht="12.75" hidden="false" customHeight="false" outlineLevel="0" collapsed="false">
      <c r="C86" s="37" t="s">
        <v>120</v>
      </c>
      <c r="D86" s="27"/>
      <c r="E86" s="28" t="s">
        <v>121</v>
      </c>
      <c r="F86" s="29"/>
      <c r="G86" s="51" t="s">
        <v>122</v>
      </c>
      <c r="H86" s="35"/>
      <c r="I86" s="32" t="s">
        <v>123</v>
      </c>
      <c r="J86" s="33"/>
      <c r="K86" s="33"/>
      <c r="L86" s="33"/>
      <c r="M86" s="33"/>
      <c r="N86" s="34"/>
    </row>
    <row r="87" s="25" customFormat="true" ht="12.75" hidden="false" customHeight="false" outlineLevel="0" collapsed="false">
      <c r="C87" s="37" t="s">
        <v>124</v>
      </c>
      <c r="D87" s="27"/>
      <c r="E87" s="28" t="s">
        <v>24</v>
      </c>
      <c r="F87" s="29"/>
      <c r="G87" s="51" t="s">
        <v>18</v>
      </c>
      <c r="H87" s="35"/>
      <c r="I87" s="32" t="s">
        <v>13</v>
      </c>
      <c r="J87" s="33"/>
      <c r="K87" s="33"/>
      <c r="L87" s="33"/>
      <c r="M87" s="33"/>
      <c r="N87" s="34"/>
    </row>
    <row r="88" s="25" customFormat="true" ht="12.75" hidden="false" customHeight="false" outlineLevel="0" collapsed="false">
      <c r="C88" s="37" t="s">
        <v>125</v>
      </c>
      <c r="D88" s="27"/>
      <c r="E88" s="28" t="s">
        <v>24</v>
      </c>
      <c r="F88" s="29"/>
      <c r="G88" s="51" t="s">
        <v>18</v>
      </c>
      <c r="H88" s="35"/>
      <c r="I88" s="32" t="s">
        <v>13</v>
      </c>
      <c r="J88" s="33"/>
      <c r="K88" s="33"/>
      <c r="L88" s="33"/>
      <c r="M88" s="33"/>
      <c r="N88" s="34"/>
    </row>
    <row r="89" s="25" customFormat="true" ht="12.75" hidden="false" customHeight="false" outlineLevel="0" collapsed="false">
      <c r="C89" s="37" t="s">
        <v>126</v>
      </c>
      <c r="D89" s="27"/>
      <c r="E89" s="28" t="s">
        <v>24</v>
      </c>
      <c r="F89" s="29"/>
      <c r="G89" s="51" t="s">
        <v>18</v>
      </c>
      <c r="H89" s="35"/>
      <c r="I89" s="32" t="s">
        <v>13</v>
      </c>
      <c r="J89" s="33"/>
      <c r="K89" s="33"/>
      <c r="L89" s="33"/>
      <c r="M89" s="33"/>
      <c r="N89" s="34"/>
    </row>
    <row r="90" s="25" customFormat="true" ht="12.75" hidden="false" customHeight="false" outlineLevel="0" collapsed="false">
      <c r="C90" s="37" t="s">
        <v>127</v>
      </c>
      <c r="D90" s="27"/>
      <c r="E90" s="28" t="s">
        <v>24</v>
      </c>
      <c r="F90" s="29"/>
      <c r="G90" s="51" t="s">
        <v>18</v>
      </c>
      <c r="H90" s="35"/>
      <c r="I90" s="32" t="s">
        <v>13</v>
      </c>
      <c r="J90" s="33"/>
      <c r="K90" s="33"/>
      <c r="L90" s="33"/>
      <c r="M90" s="33"/>
      <c r="N90" s="34"/>
    </row>
    <row r="91" s="25" customFormat="true" ht="12.75" hidden="false" customHeight="false" outlineLevel="0" collapsed="false">
      <c r="C91" s="37" t="s">
        <v>128</v>
      </c>
      <c r="D91" s="27"/>
      <c r="E91" s="28" t="s">
        <v>129</v>
      </c>
      <c r="F91" s="29"/>
      <c r="G91" s="51" t="s">
        <v>18</v>
      </c>
      <c r="H91" s="35"/>
      <c r="I91" s="32" t="s">
        <v>13</v>
      </c>
      <c r="J91" s="33"/>
      <c r="K91" s="33"/>
      <c r="L91" s="33"/>
      <c r="M91" s="33"/>
      <c r="N91" s="34"/>
    </row>
    <row r="92" s="25" customFormat="true" ht="12.75" hidden="false" customHeight="false" outlineLevel="0" collapsed="false">
      <c r="C92" s="37" t="s">
        <v>130</v>
      </c>
      <c r="D92" s="27"/>
      <c r="E92" s="28" t="s">
        <v>131</v>
      </c>
      <c r="F92" s="29"/>
      <c r="G92" s="51" t="s">
        <v>18</v>
      </c>
      <c r="H92" s="35"/>
      <c r="I92" s="32" t="s">
        <v>13</v>
      </c>
      <c r="J92" s="33"/>
      <c r="K92" s="33"/>
      <c r="L92" s="33"/>
      <c r="M92" s="33"/>
      <c r="N92" s="34"/>
    </row>
    <row r="93" s="25" customFormat="true" ht="12.75" hidden="false" customHeight="false" outlineLevel="0" collapsed="false">
      <c r="C93" s="37" t="s">
        <v>132</v>
      </c>
      <c r="D93" s="27"/>
      <c r="E93" s="28" t="s">
        <v>133</v>
      </c>
      <c r="F93" s="29"/>
      <c r="G93" s="51" t="s">
        <v>134</v>
      </c>
      <c r="H93" s="35"/>
      <c r="I93" s="32" t="s">
        <v>13</v>
      </c>
      <c r="J93" s="33"/>
      <c r="K93" s="33"/>
      <c r="L93" s="33"/>
      <c r="M93" s="33"/>
      <c r="N93" s="34"/>
    </row>
    <row r="94" s="25" customFormat="true" ht="12.75" hidden="false" customHeight="false" outlineLevel="0" collapsed="false">
      <c r="C94" s="37" t="s">
        <v>135</v>
      </c>
      <c r="D94" s="27"/>
      <c r="E94" s="28" t="s">
        <v>136</v>
      </c>
      <c r="F94" s="29"/>
      <c r="G94" s="51" t="s">
        <v>18</v>
      </c>
      <c r="H94" s="35"/>
      <c r="I94" s="32" t="s">
        <v>13</v>
      </c>
      <c r="J94" s="33"/>
      <c r="K94" s="33"/>
      <c r="L94" s="33"/>
      <c r="M94" s="33"/>
      <c r="N94" s="34"/>
    </row>
    <row r="95" s="25" customFormat="true" ht="12.75" hidden="false" customHeight="false" outlineLevel="0" collapsed="false">
      <c r="C95" s="37"/>
      <c r="D95" s="27"/>
      <c r="E95" s="28"/>
      <c r="F95" s="29"/>
      <c r="G95" s="51"/>
      <c r="H95" s="35"/>
      <c r="I95" s="32" t="s">
        <v>13</v>
      </c>
      <c r="J95" s="33"/>
      <c r="K95" s="33"/>
      <c r="L95" s="33"/>
      <c r="M95" s="33"/>
      <c r="N95" s="34"/>
    </row>
    <row r="96" s="25" customFormat="true" ht="12.75" hidden="false" customHeight="false" outlineLevel="0" collapsed="false">
      <c r="C96" s="37"/>
      <c r="D96" s="27"/>
      <c r="E96" s="28"/>
      <c r="F96" s="29"/>
      <c r="G96" s="51"/>
      <c r="H96" s="35"/>
      <c r="I96" s="32" t="s">
        <v>13</v>
      </c>
      <c r="J96" s="33"/>
      <c r="K96" s="33"/>
      <c r="L96" s="33"/>
      <c r="M96" s="33"/>
      <c r="N96" s="34"/>
    </row>
    <row r="97" s="25" customFormat="true" ht="12.75" hidden="false" customHeight="false" outlineLevel="0" collapsed="false">
      <c r="C97" s="37"/>
      <c r="D97" s="27"/>
      <c r="E97" s="28"/>
      <c r="F97" s="29"/>
      <c r="G97" s="51"/>
      <c r="H97" s="35"/>
      <c r="I97" s="32" t="s">
        <v>137</v>
      </c>
      <c r="J97" s="33"/>
      <c r="K97" s="33"/>
      <c r="L97" s="33"/>
      <c r="M97" s="33"/>
      <c r="N97" s="34"/>
    </row>
    <row r="98" s="2" customFormat="true" ht="12.75" hidden="false" customHeight="true" outlineLevel="0" collapsed="false">
      <c r="C98" s="52" t="s">
        <v>138</v>
      </c>
      <c r="D98" s="52"/>
      <c r="E98" s="42"/>
      <c r="F98" s="42"/>
      <c r="G98" s="42"/>
      <c r="H98" s="43"/>
      <c r="I98" s="44" t="s">
        <v>4</v>
      </c>
      <c r="J98" s="45"/>
      <c r="K98" s="45"/>
      <c r="L98" s="45"/>
      <c r="M98" s="33" t="n">
        <f aca="false">MIN(J98:L98)</f>
        <v>0</v>
      </c>
      <c r="N98" s="34" t="e">
        <f aca="false">SUM(M98/E98)</f>
        <v>#DIV/0!</v>
      </c>
    </row>
    <row r="99" s="2" customFormat="true" ht="15" hidden="false" customHeight="true" outlineLevel="0" collapsed="false">
      <c r="C99" s="52"/>
      <c r="D99" s="52"/>
      <c r="E99" s="46" t="s">
        <v>6</v>
      </c>
      <c r="F99" s="47"/>
      <c r="G99" s="48" t="s">
        <v>7</v>
      </c>
      <c r="H99" s="49" t="s">
        <v>8</v>
      </c>
      <c r="I99" s="44"/>
      <c r="J99" s="45"/>
      <c r="K99" s="45"/>
      <c r="L99" s="45"/>
      <c r="M99" s="33" t="n">
        <f aca="false">MIN(J99:L99)</f>
        <v>0</v>
      </c>
      <c r="N99" s="34" t="e">
        <f aca="false">SUM(M99/E99)</f>
        <v>#VALUE!</v>
      </c>
    </row>
    <row r="100" s="25" customFormat="true" ht="12.75" hidden="false" customHeight="false" outlineLevel="0" collapsed="false">
      <c r="C100" s="26" t="s">
        <v>139</v>
      </c>
      <c r="D100" s="27"/>
      <c r="E100" s="28" t="s">
        <v>18</v>
      </c>
      <c r="F100" s="29"/>
      <c r="G100" s="51" t="s">
        <v>18</v>
      </c>
      <c r="H100" s="35"/>
      <c r="I100" s="53" t="s">
        <v>13</v>
      </c>
      <c r="J100" s="33"/>
      <c r="K100" s="33"/>
      <c r="L100" s="33"/>
      <c r="M100" s="33" t="n">
        <f aca="false">MIN(J100:L100)</f>
        <v>0</v>
      </c>
      <c r="N100" s="34" t="e">
        <f aca="false">SUM(M100/E100)</f>
        <v>#VALUE!</v>
      </c>
    </row>
    <row r="101" s="25" customFormat="true" ht="12.75" hidden="false" customHeight="false" outlineLevel="0" collapsed="false">
      <c r="C101" s="36" t="s">
        <v>140</v>
      </c>
      <c r="D101" s="27"/>
      <c r="E101" s="28" t="s">
        <v>18</v>
      </c>
      <c r="F101" s="29"/>
      <c r="G101" s="51" t="s">
        <v>34</v>
      </c>
      <c r="H101" s="35"/>
      <c r="I101" s="53" t="s">
        <v>13</v>
      </c>
      <c r="J101" s="33"/>
      <c r="K101" s="33"/>
      <c r="L101" s="33"/>
      <c r="M101" s="33" t="n">
        <f aca="false">MIN(J101:L101)</f>
        <v>0</v>
      </c>
      <c r="N101" s="34" t="e">
        <f aca="false">SUM(M101/E101)</f>
        <v>#VALUE!</v>
      </c>
    </row>
    <row r="102" s="25" customFormat="true" ht="12.75" hidden="false" customHeight="false" outlineLevel="0" collapsed="false">
      <c r="C102" s="26"/>
      <c r="D102" s="27"/>
      <c r="E102" s="28"/>
      <c r="F102" s="29"/>
      <c r="G102" s="51"/>
      <c r="H102" s="35"/>
      <c r="I102" s="40" t="s">
        <v>141</v>
      </c>
      <c r="J102" s="33"/>
      <c r="K102" s="33"/>
      <c r="L102" s="33"/>
      <c r="M102" s="33" t="n">
        <f aca="false">MIN(J102:L102)</f>
        <v>0</v>
      </c>
      <c r="N102" s="34" t="e">
        <f aca="false">SUM(M102/E102)</f>
        <v>#DIV/0!</v>
      </c>
    </row>
    <row r="103" s="25" customFormat="true" ht="12.75" hidden="false" customHeight="false" outlineLevel="0" collapsed="false">
      <c r="C103" s="26" t="s">
        <v>142</v>
      </c>
      <c r="D103" s="27"/>
      <c r="E103" s="28" t="s">
        <v>18</v>
      </c>
      <c r="F103" s="29"/>
      <c r="G103" s="51" t="s">
        <v>18</v>
      </c>
      <c r="H103" s="35"/>
      <c r="I103" s="53" t="s">
        <v>13</v>
      </c>
      <c r="J103" s="33"/>
      <c r="K103" s="33"/>
      <c r="L103" s="33"/>
      <c r="M103" s="33" t="n">
        <f aca="false">MIN(J103:L103)</f>
        <v>0</v>
      </c>
      <c r="N103" s="34" t="e">
        <f aca="false">SUM(M103/E103)</f>
        <v>#VALUE!</v>
      </c>
    </row>
    <row r="104" s="25" customFormat="true" ht="12.75" hidden="false" customHeight="false" outlineLevel="0" collapsed="false">
      <c r="C104" s="26" t="s">
        <v>143</v>
      </c>
      <c r="D104" s="27"/>
      <c r="E104" s="28" t="s">
        <v>18</v>
      </c>
      <c r="F104" s="29"/>
      <c r="G104" s="51" t="s">
        <v>18</v>
      </c>
      <c r="H104" s="35"/>
      <c r="I104" s="53" t="s">
        <v>13</v>
      </c>
      <c r="J104" s="33"/>
      <c r="K104" s="33"/>
      <c r="L104" s="33"/>
      <c r="M104" s="33" t="n">
        <f aca="false">MIN(J104:L104)</f>
        <v>0</v>
      </c>
      <c r="N104" s="34" t="e">
        <f aca="false">SUM(M104/E104)</f>
        <v>#VALUE!</v>
      </c>
    </row>
    <row r="105" s="25" customFormat="true" ht="12.75" hidden="false" customHeight="false" outlineLevel="0" collapsed="false">
      <c r="C105" s="26" t="s">
        <v>144</v>
      </c>
      <c r="D105" s="27"/>
      <c r="E105" s="28" t="s">
        <v>18</v>
      </c>
      <c r="F105" s="29"/>
      <c r="G105" s="51" t="s">
        <v>18</v>
      </c>
      <c r="H105" s="35"/>
      <c r="I105" s="53" t="s">
        <v>13</v>
      </c>
      <c r="J105" s="33"/>
      <c r="K105" s="33"/>
      <c r="L105" s="33"/>
      <c r="M105" s="33" t="n">
        <f aca="false">MIN(J105:L105)</f>
        <v>0</v>
      </c>
      <c r="N105" s="34" t="e">
        <f aca="false">SUM(M105/E105)</f>
        <v>#VALUE!</v>
      </c>
    </row>
    <row r="106" s="25" customFormat="true" ht="12.75" hidden="false" customHeight="false" outlineLevel="0" collapsed="false">
      <c r="C106" s="36" t="s">
        <v>145</v>
      </c>
      <c r="D106" s="27"/>
      <c r="E106" s="28" t="s">
        <v>18</v>
      </c>
      <c r="F106" s="29"/>
      <c r="G106" s="51" t="s">
        <v>18</v>
      </c>
      <c r="H106" s="35"/>
      <c r="I106" s="53" t="s">
        <v>13</v>
      </c>
      <c r="J106" s="33"/>
      <c r="K106" s="33"/>
      <c r="L106" s="33"/>
      <c r="M106" s="33" t="n">
        <f aca="false">MIN(J106:L106)</f>
        <v>0</v>
      </c>
      <c r="N106" s="34" t="e">
        <f aca="false">SUM(M106/E106)</f>
        <v>#VALUE!</v>
      </c>
    </row>
    <row r="107" s="25" customFormat="true" ht="12.75" hidden="false" customHeight="false" outlineLevel="0" collapsed="false">
      <c r="C107" s="37" t="s">
        <v>146</v>
      </c>
      <c r="D107" s="27"/>
      <c r="E107" s="28" t="s">
        <v>18</v>
      </c>
      <c r="F107" s="29"/>
      <c r="G107" s="51" t="s">
        <v>34</v>
      </c>
      <c r="H107" s="35"/>
      <c r="I107" s="53" t="s">
        <v>13</v>
      </c>
      <c r="J107" s="33"/>
      <c r="K107" s="33"/>
      <c r="L107" s="33"/>
      <c r="M107" s="33" t="n">
        <f aca="false">MIN(J107:L107)</f>
        <v>0</v>
      </c>
      <c r="N107" s="34" t="e">
        <f aca="false">SUM(M107/E107)</f>
        <v>#VALUE!</v>
      </c>
    </row>
    <row r="108" s="25" customFormat="true" ht="12.75" hidden="false" customHeight="false" outlineLevel="0" collapsed="false">
      <c r="C108" s="37"/>
      <c r="D108" s="27"/>
      <c r="E108" s="28"/>
      <c r="F108" s="29"/>
      <c r="G108" s="51"/>
      <c r="H108" s="35"/>
      <c r="I108" s="40" t="s">
        <v>44</v>
      </c>
      <c r="J108" s="33"/>
      <c r="K108" s="33"/>
      <c r="L108" s="33"/>
      <c r="M108" s="33" t="n">
        <f aca="false">MIN(J108:L108)</f>
        <v>0</v>
      </c>
      <c r="N108" s="34" t="e">
        <f aca="false">SUM(M108/E108)</f>
        <v>#DIV/0!</v>
      </c>
    </row>
    <row r="109" s="25" customFormat="true" ht="12.75" hidden="false" customHeight="false" outlineLevel="0" collapsed="false">
      <c r="C109" s="37"/>
      <c r="D109" s="27"/>
      <c r="E109" s="28"/>
      <c r="F109" s="29"/>
      <c r="G109" s="51"/>
      <c r="H109" s="35"/>
      <c r="I109" s="53" t="s">
        <v>13</v>
      </c>
      <c r="J109" s="33"/>
      <c r="K109" s="33"/>
      <c r="L109" s="33"/>
      <c r="M109" s="33"/>
      <c r="N109" s="34"/>
    </row>
    <row r="110" s="25" customFormat="true" ht="12.75" hidden="false" customHeight="false" outlineLevel="0" collapsed="false">
      <c r="C110" s="37" t="s">
        <v>147</v>
      </c>
      <c r="D110" s="27"/>
      <c r="E110" s="28" t="s">
        <v>18</v>
      </c>
      <c r="F110" s="29"/>
      <c r="G110" s="51" t="s">
        <v>18</v>
      </c>
      <c r="H110" s="35"/>
      <c r="I110" s="53"/>
      <c r="J110" s="33"/>
      <c r="K110" s="33"/>
      <c r="L110" s="33"/>
      <c r="M110" s="33"/>
      <c r="N110" s="34"/>
    </row>
    <row r="111" s="25" customFormat="true" ht="12.75" hidden="false" customHeight="false" outlineLevel="0" collapsed="false">
      <c r="C111" s="37" t="s">
        <v>148</v>
      </c>
      <c r="D111" s="27"/>
      <c r="E111" s="28" t="s">
        <v>18</v>
      </c>
      <c r="F111" s="29"/>
      <c r="G111" s="51" t="s">
        <v>18</v>
      </c>
      <c r="H111" s="35"/>
      <c r="I111" s="32" t="s">
        <v>13</v>
      </c>
      <c r="J111" s="33"/>
      <c r="K111" s="33"/>
      <c r="L111" s="33"/>
      <c r="M111" s="33"/>
      <c r="N111" s="34"/>
    </row>
    <row r="112" s="25" customFormat="true" ht="12.75" hidden="false" customHeight="false" outlineLevel="0" collapsed="false">
      <c r="C112" s="37" t="s">
        <v>149</v>
      </c>
      <c r="D112" s="27"/>
      <c r="E112" s="28" t="s">
        <v>18</v>
      </c>
      <c r="F112" s="29"/>
      <c r="G112" s="51" t="s">
        <v>18</v>
      </c>
      <c r="H112" s="35"/>
      <c r="I112" s="32"/>
      <c r="J112" s="33"/>
      <c r="K112" s="33"/>
      <c r="L112" s="33"/>
      <c r="M112" s="33"/>
      <c r="N112" s="34"/>
    </row>
    <row r="113" s="25" customFormat="true" ht="12.75" hidden="false" customHeight="false" outlineLevel="0" collapsed="false">
      <c r="C113" s="37" t="s">
        <v>150</v>
      </c>
      <c r="D113" s="27"/>
      <c r="E113" s="28" t="s">
        <v>18</v>
      </c>
      <c r="F113" s="29"/>
      <c r="G113" s="51" t="s">
        <v>18</v>
      </c>
      <c r="H113" s="35"/>
      <c r="I113" s="32" t="s">
        <v>151</v>
      </c>
      <c r="J113" s="33"/>
      <c r="K113" s="33"/>
      <c r="L113" s="33"/>
      <c r="M113" s="33"/>
      <c r="N113" s="34"/>
    </row>
    <row r="114" s="25" customFormat="true" ht="12.75" hidden="false" customHeight="false" outlineLevel="0" collapsed="false">
      <c r="C114" s="37" t="s">
        <v>152</v>
      </c>
      <c r="D114" s="27"/>
      <c r="E114" s="28" t="s">
        <v>18</v>
      </c>
      <c r="F114" s="29"/>
      <c r="G114" s="51" t="s">
        <v>18</v>
      </c>
      <c r="H114" s="35"/>
      <c r="I114" s="32"/>
      <c r="J114" s="33"/>
      <c r="K114" s="33"/>
      <c r="L114" s="33"/>
      <c r="M114" s="33"/>
      <c r="N114" s="34"/>
    </row>
    <row r="115" s="25" customFormat="true" ht="12.75" hidden="false" customHeight="false" outlineLevel="0" collapsed="false">
      <c r="C115" s="37" t="s">
        <v>153</v>
      </c>
      <c r="D115" s="27"/>
      <c r="E115" s="28" t="s">
        <v>18</v>
      </c>
      <c r="F115" s="29"/>
      <c r="G115" s="51" t="s">
        <v>18</v>
      </c>
      <c r="H115" s="35"/>
      <c r="I115" s="32" t="s">
        <v>13</v>
      </c>
      <c r="J115" s="33"/>
      <c r="K115" s="33"/>
      <c r="L115" s="33"/>
      <c r="M115" s="33"/>
      <c r="N115" s="34"/>
    </row>
    <row r="116" s="2" customFormat="true" ht="12.75" hidden="false" customHeight="true" outlineLevel="0" collapsed="false">
      <c r="C116" s="52" t="s">
        <v>154</v>
      </c>
      <c r="D116" s="52"/>
      <c r="E116" s="42"/>
      <c r="F116" s="42"/>
      <c r="G116" s="42"/>
      <c r="H116" s="43"/>
      <c r="I116" s="44" t="s">
        <v>4</v>
      </c>
      <c r="J116" s="45"/>
      <c r="K116" s="45"/>
      <c r="L116" s="45"/>
      <c r="M116" s="33" t="n">
        <f aca="false">MIN(J116:L116)</f>
        <v>0</v>
      </c>
      <c r="N116" s="34" t="e">
        <f aca="false">SUM(M116/E116)</f>
        <v>#DIV/0!</v>
      </c>
    </row>
    <row r="117" s="2" customFormat="true" ht="15" hidden="false" customHeight="true" outlineLevel="0" collapsed="false">
      <c r="C117" s="52"/>
      <c r="D117" s="52"/>
      <c r="E117" s="46" t="s">
        <v>6</v>
      </c>
      <c r="F117" s="47"/>
      <c r="G117" s="48" t="s">
        <v>7</v>
      </c>
      <c r="H117" s="49" t="s">
        <v>8</v>
      </c>
      <c r="I117" s="44"/>
      <c r="J117" s="45"/>
      <c r="K117" s="45"/>
      <c r="L117" s="45"/>
      <c r="M117" s="33" t="n">
        <f aca="false">MIN(J117:L117)</f>
        <v>0</v>
      </c>
      <c r="N117" s="34" t="e">
        <f aca="false">SUM(M117/E117)</f>
        <v>#VALUE!</v>
      </c>
    </row>
    <row r="118" s="25" customFormat="true" ht="12.75" hidden="false" customHeight="false" outlineLevel="0" collapsed="false">
      <c r="C118" s="36" t="s">
        <v>155</v>
      </c>
      <c r="D118" s="27"/>
      <c r="E118" s="28" t="s">
        <v>18</v>
      </c>
      <c r="F118" s="29"/>
      <c r="G118" s="51" t="s">
        <v>18</v>
      </c>
      <c r="H118" s="35"/>
      <c r="I118" s="53" t="s">
        <v>13</v>
      </c>
      <c r="J118" s="33"/>
      <c r="K118" s="33"/>
      <c r="L118" s="33"/>
      <c r="M118" s="33" t="n">
        <f aca="false">MIN(J118:L118)</f>
        <v>0</v>
      </c>
      <c r="N118" s="34" t="e">
        <f aca="false">SUM(M118/E118)</f>
        <v>#VALUE!</v>
      </c>
    </row>
    <row r="119" s="25" customFormat="true" ht="12.75" hidden="false" customHeight="false" outlineLevel="0" collapsed="false">
      <c r="C119" s="36" t="s">
        <v>156</v>
      </c>
      <c r="D119" s="27"/>
      <c r="E119" s="28" t="s">
        <v>157</v>
      </c>
      <c r="F119" s="29"/>
      <c r="G119" s="51" t="s">
        <v>157</v>
      </c>
      <c r="H119" s="35"/>
      <c r="I119" s="53" t="s">
        <v>13</v>
      </c>
      <c r="J119" s="33"/>
      <c r="K119" s="33"/>
      <c r="L119" s="33"/>
      <c r="M119" s="33" t="n">
        <f aca="false">MIN(J119:L119)</f>
        <v>0</v>
      </c>
      <c r="N119" s="34" t="e">
        <f aca="false">SUM(M119/E119)</f>
        <v>#VALUE!</v>
      </c>
    </row>
    <row r="120" s="25" customFormat="true" ht="12.75" hidden="false" customHeight="false" outlineLevel="0" collapsed="false">
      <c r="C120" s="36" t="s">
        <v>158</v>
      </c>
      <c r="D120" s="27"/>
      <c r="E120" s="28" t="s">
        <v>159</v>
      </c>
      <c r="F120" s="29"/>
      <c r="G120" s="51" t="s">
        <v>159</v>
      </c>
      <c r="H120" s="35"/>
      <c r="I120" s="53" t="s">
        <v>13</v>
      </c>
      <c r="J120" s="33"/>
      <c r="K120" s="33"/>
      <c r="L120" s="33"/>
      <c r="M120" s="33" t="n">
        <f aca="false">MIN(J120:L120)</f>
        <v>0</v>
      </c>
      <c r="N120" s="34" t="e">
        <f aca="false">SUM(M120/E120)</f>
        <v>#VALUE!</v>
      </c>
    </row>
    <row r="121" s="25" customFormat="true" ht="12.75" hidden="false" customHeight="false" outlineLevel="0" collapsed="false">
      <c r="C121" s="36" t="s">
        <v>160</v>
      </c>
      <c r="D121" s="27"/>
      <c r="E121" s="28" t="s">
        <v>18</v>
      </c>
      <c r="F121" s="29"/>
      <c r="G121" s="51" t="s">
        <v>18</v>
      </c>
      <c r="H121" s="35"/>
      <c r="I121" s="53" t="s">
        <v>13</v>
      </c>
      <c r="J121" s="33"/>
      <c r="K121" s="33"/>
      <c r="L121" s="33"/>
      <c r="M121" s="33" t="n">
        <f aca="false">MIN(J121:L121)</f>
        <v>0</v>
      </c>
      <c r="N121" s="34" t="e">
        <f aca="false">SUM(M121/E121)</f>
        <v>#VALUE!</v>
      </c>
    </row>
    <row r="122" s="25" customFormat="true" ht="12.75" hidden="false" customHeight="false" outlineLevel="0" collapsed="false">
      <c r="C122" s="36" t="s">
        <v>161</v>
      </c>
      <c r="D122" s="27"/>
      <c r="E122" s="28" t="s">
        <v>18</v>
      </c>
      <c r="F122" s="29"/>
      <c r="G122" s="51" t="s">
        <v>18</v>
      </c>
      <c r="H122" s="35"/>
      <c r="I122" s="53" t="s">
        <v>13</v>
      </c>
      <c r="J122" s="33"/>
      <c r="K122" s="33"/>
      <c r="L122" s="33"/>
      <c r="M122" s="33" t="n">
        <f aca="false">MIN(J122:L122)</f>
        <v>0</v>
      </c>
      <c r="N122" s="34" t="e">
        <f aca="false">SUM(M122/E122)</f>
        <v>#VALUE!</v>
      </c>
    </row>
    <row r="123" s="25" customFormat="true" ht="12.75" hidden="false" customHeight="false" outlineLevel="0" collapsed="false">
      <c r="C123" s="36" t="s">
        <v>162</v>
      </c>
      <c r="D123" s="27"/>
      <c r="E123" s="28" t="s">
        <v>134</v>
      </c>
      <c r="F123" s="29"/>
      <c r="G123" s="51" t="s">
        <v>134</v>
      </c>
      <c r="H123" s="35"/>
      <c r="I123" s="54" t="s">
        <v>163</v>
      </c>
      <c r="J123" s="33"/>
      <c r="K123" s="33"/>
      <c r="L123" s="33"/>
      <c r="M123" s="33" t="n">
        <f aca="false">MIN(J123:L123)</f>
        <v>0</v>
      </c>
      <c r="N123" s="34" t="e">
        <f aca="false">SUM(M123/E123)</f>
        <v>#VALUE!</v>
      </c>
    </row>
    <row r="124" s="25" customFormat="true" ht="12.75" hidden="false" customHeight="false" outlineLevel="0" collapsed="false">
      <c r="C124" s="36" t="s">
        <v>164</v>
      </c>
      <c r="D124" s="27"/>
      <c r="E124" s="28" t="s">
        <v>84</v>
      </c>
      <c r="F124" s="29"/>
      <c r="G124" s="51" t="s">
        <v>165</v>
      </c>
      <c r="H124" s="35"/>
      <c r="I124" s="53" t="s">
        <v>13</v>
      </c>
      <c r="J124" s="33"/>
      <c r="K124" s="33"/>
      <c r="L124" s="33"/>
      <c r="M124" s="33" t="n">
        <f aca="false">MIN(J124:L124)</f>
        <v>0</v>
      </c>
      <c r="N124" s="34" t="e">
        <f aca="false">SUM(M124/E124)</f>
        <v>#VALUE!</v>
      </c>
    </row>
    <row r="125" s="25" customFormat="true" ht="12.75" hidden="false" customHeight="false" outlineLevel="0" collapsed="false">
      <c r="C125" s="36" t="s">
        <v>166</v>
      </c>
      <c r="D125" s="27"/>
      <c r="E125" s="28" t="s">
        <v>18</v>
      </c>
      <c r="F125" s="29"/>
      <c r="G125" s="51" t="s">
        <v>18</v>
      </c>
      <c r="H125" s="35"/>
      <c r="I125" s="53" t="s">
        <v>13</v>
      </c>
      <c r="J125" s="33"/>
      <c r="K125" s="33"/>
      <c r="L125" s="33"/>
      <c r="M125" s="33" t="n">
        <f aca="false">MIN(J125:L125)</f>
        <v>0</v>
      </c>
      <c r="N125" s="34" t="e">
        <f aca="false">SUM(M125/E125)</f>
        <v>#VALUE!</v>
      </c>
    </row>
    <row r="126" s="25" customFormat="true" ht="12.75" hidden="false" customHeight="false" outlineLevel="0" collapsed="false">
      <c r="C126" s="36" t="s">
        <v>167</v>
      </c>
      <c r="D126" s="27"/>
      <c r="E126" s="28" t="s">
        <v>18</v>
      </c>
      <c r="F126" s="29"/>
      <c r="G126" s="51" t="s">
        <v>18</v>
      </c>
      <c r="H126" s="35"/>
      <c r="I126" s="53" t="s">
        <v>13</v>
      </c>
      <c r="J126" s="33"/>
      <c r="K126" s="33"/>
      <c r="L126" s="33"/>
      <c r="M126" s="33"/>
      <c r="N126" s="34"/>
    </row>
    <row r="127" s="25" customFormat="true" ht="12.75" hidden="false" customHeight="false" outlineLevel="0" collapsed="false">
      <c r="C127" s="36" t="s">
        <v>168</v>
      </c>
      <c r="D127" s="27"/>
      <c r="E127" s="28" t="s">
        <v>169</v>
      </c>
      <c r="F127" s="29"/>
      <c r="G127" s="51" t="s">
        <v>169</v>
      </c>
      <c r="H127" s="35"/>
      <c r="I127" s="53" t="s">
        <v>13</v>
      </c>
      <c r="J127" s="33"/>
      <c r="K127" s="33"/>
      <c r="L127" s="33"/>
      <c r="M127" s="33"/>
      <c r="N127" s="34"/>
    </row>
    <row r="128" s="25" customFormat="true" ht="12.75" hidden="false" customHeight="false" outlineLevel="0" collapsed="false">
      <c r="C128" s="36" t="s">
        <v>170</v>
      </c>
      <c r="D128" s="27"/>
      <c r="E128" s="28" t="s">
        <v>18</v>
      </c>
      <c r="F128" s="29"/>
      <c r="G128" s="51" t="s">
        <v>18</v>
      </c>
      <c r="H128" s="35"/>
      <c r="I128" s="53" t="s">
        <v>13</v>
      </c>
      <c r="J128" s="33"/>
      <c r="K128" s="33"/>
      <c r="L128" s="33"/>
      <c r="M128" s="33"/>
      <c r="N128" s="34"/>
    </row>
    <row r="129" s="25" customFormat="true" ht="12.75" hidden="false" customHeight="false" outlineLevel="0" collapsed="false">
      <c r="C129" s="36" t="s">
        <v>171</v>
      </c>
      <c r="D129" s="27"/>
      <c r="E129" s="28" t="s">
        <v>18</v>
      </c>
      <c r="F129" s="29"/>
      <c r="G129" s="51" t="s">
        <v>18</v>
      </c>
      <c r="H129" s="35"/>
      <c r="I129" s="54" t="s">
        <v>163</v>
      </c>
      <c r="J129" s="33"/>
      <c r="K129" s="33"/>
      <c r="L129" s="33"/>
      <c r="M129" s="33"/>
      <c r="N129" s="34"/>
    </row>
    <row r="130" s="25" customFormat="true" ht="12.75" hidden="false" customHeight="false" outlineLevel="0" collapsed="false">
      <c r="C130" s="36" t="s">
        <v>172</v>
      </c>
      <c r="D130" s="27"/>
      <c r="E130" s="28" t="s">
        <v>159</v>
      </c>
      <c r="F130" s="29"/>
      <c r="G130" s="51" t="s">
        <v>159</v>
      </c>
      <c r="H130" s="35"/>
      <c r="I130" s="53" t="s">
        <v>13</v>
      </c>
      <c r="J130" s="33"/>
      <c r="K130" s="33"/>
      <c r="L130" s="33"/>
      <c r="M130" s="33" t="n">
        <f aca="false">MIN(J130:L130)</f>
        <v>0</v>
      </c>
      <c r="N130" s="34" t="e">
        <f aca="false">SUM(M130/E130)</f>
        <v>#VALUE!</v>
      </c>
    </row>
    <row r="131" customFormat="false" ht="12.75" hidden="false" customHeight="false" outlineLevel="0" collapsed="false">
      <c r="C131" s="37" t="s">
        <v>173</v>
      </c>
      <c r="D131" s="27"/>
      <c r="E131" s="28" t="s">
        <v>84</v>
      </c>
      <c r="F131" s="29"/>
      <c r="G131" s="51" t="s">
        <v>84</v>
      </c>
      <c r="H131" s="35"/>
      <c r="I131" s="55" t="s">
        <v>13</v>
      </c>
      <c r="J131" s="56"/>
      <c r="K131" s="56"/>
      <c r="L131" s="56"/>
      <c r="M131" s="33" t="n">
        <f aca="false">MIN(J131:L131)</f>
        <v>0</v>
      </c>
      <c r="N131" s="34" t="e">
        <f aca="false">SUM(M131/E131)</f>
        <v>#VALUE!</v>
      </c>
    </row>
    <row r="132" customFormat="false" ht="12.75" hidden="false" customHeight="false" outlineLevel="0" collapsed="false">
      <c r="C132" s="37" t="s">
        <v>174</v>
      </c>
      <c r="D132" s="27"/>
      <c r="E132" s="28" t="s">
        <v>18</v>
      </c>
      <c r="F132" s="29"/>
      <c r="G132" s="51" t="s">
        <v>18</v>
      </c>
      <c r="H132" s="35"/>
      <c r="I132" s="55" t="s">
        <v>13</v>
      </c>
      <c r="J132" s="56"/>
      <c r="K132" s="56"/>
      <c r="L132" s="56"/>
      <c r="M132" s="33"/>
      <c r="N132" s="34"/>
    </row>
    <row r="133" customFormat="false" ht="12.75" hidden="false" customHeight="false" outlineLevel="0" collapsed="false">
      <c r="C133" s="37" t="s">
        <v>175</v>
      </c>
      <c r="D133" s="27"/>
      <c r="E133" s="28" t="s">
        <v>18</v>
      </c>
      <c r="F133" s="29"/>
      <c r="G133" s="51" t="s">
        <v>18</v>
      </c>
      <c r="H133" s="35"/>
      <c r="I133" s="55" t="s">
        <v>13</v>
      </c>
      <c r="J133" s="56"/>
      <c r="K133" s="56"/>
      <c r="L133" s="56"/>
      <c r="M133" s="33"/>
      <c r="N133" s="34"/>
    </row>
    <row r="134" customFormat="false" ht="12.75" hidden="false" customHeight="false" outlineLevel="0" collapsed="false">
      <c r="C134" s="37" t="s">
        <v>176</v>
      </c>
      <c r="D134" s="27"/>
      <c r="E134" s="28" t="s">
        <v>18</v>
      </c>
      <c r="F134" s="29"/>
      <c r="G134" s="51" t="s">
        <v>18</v>
      </c>
      <c r="H134" s="35"/>
      <c r="I134" s="55" t="s">
        <v>13</v>
      </c>
      <c r="J134" s="56"/>
      <c r="K134" s="56"/>
      <c r="L134" s="56"/>
      <c r="M134" s="33"/>
      <c r="N134" s="34"/>
    </row>
    <row r="135" customFormat="false" ht="12.75" hidden="false" customHeight="false" outlineLevel="0" collapsed="false">
      <c r="C135" s="37" t="s">
        <v>177</v>
      </c>
      <c r="D135" s="27"/>
      <c r="E135" s="28" t="s">
        <v>178</v>
      </c>
      <c r="F135" s="29"/>
      <c r="G135" s="51" t="s">
        <v>178</v>
      </c>
      <c r="H135" s="35"/>
      <c r="I135" s="55" t="s">
        <v>13</v>
      </c>
      <c r="J135" s="56"/>
      <c r="K135" s="56"/>
      <c r="L135" s="56"/>
      <c r="M135" s="33"/>
      <c r="N135" s="34"/>
    </row>
    <row r="136" customFormat="false" ht="12.75" hidden="false" customHeight="false" outlineLevel="0" collapsed="false">
      <c r="C136" s="37" t="s">
        <v>179</v>
      </c>
      <c r="D136" s="27"/>
      <c r="E136" s="28" t="s">
        <v>134</v>
      </c>
      <c r="F136" s="29"/>
      <c r="G136" s="51" t="s">
        <v>134</v>
      </c>
      <c r="H136" s="35"/>
      <c r="I136" s="55" t="s">
        <v>13</v>
      </c>
      <c r="J136" s="56"/>
      <c r="K136" s="56"/>
      <c r="L136" s="56"/>
      <c r="M136" s="33"/>
      <c r="N136" s="34"/>
    </row>
    <row r="137" customFormat="false" ht="12.75" hidden="false" customHeight="false" outlineLevel="0" collapsed="false">
      <c r="C137" s="37" t="s">
        <v>180</v>
      </c>
      <c r="D137" s="27"/>
      <c r="E137" s="28" t="s">
        <v>28</v>
      </c>
      <c r="F137" s="29"/>
      <c r="G137" s="51" t="s">
        <v>18</v>
      </c>
      <c r="H137" s="35"/>
      <c r="I137" s="55" t="s">
        <v>13</v>
      </c>
      <c r="J137" s="56"/>
      <c r="K137" s="56"/>
      <c r="L137" s="56"/>
      <c r="M137" s="33"/>
      <c r="N137" s="34"/>
    </row>
    <row r="138" customFormat="false" ht="12.75" hidden="false" customHeight="false" outlineLevel="0" collapsed="false">
      <c r="C138" s="37" t="s">
        <v>181</v>
      </c>
      <c r="D138" s="27"/>
      <c r="E138" s="28" t="s">
        <v>74</v>
      </c>
      <c r="F138" s="29"/>
      <c r="G138" s="51" t="s">
        <v>89</v>
      </c>
      <c r="H138" s="35"/>
      <c r="I138" s="55" t="s">
        <v>13</v>
      </c>
      <c r="J138" s="56"/>
      <c r="K138" s="56"/>
      <c r="L138" s="56"/>
      <c r="M138" s="33"/>
      <c r="N138" s="34"/>
    </row>
    <row r="139" customFormat="false" ht="12.75" hidden="false" customHeight="false" outlineLevel="0" collapsed="false">
      <c r="C139" s="37" t="s">
        <v>182</v>
      </c>
      <c r="D139" s="27"/>
      <c r="E139" s="28" t="s">
        <v>79</v>
      </c>
      <c r="F139" s="29"/>
      <c r="G139" s="51" t="s">
        <v>89</v>
      </c>
      <c r="H139" s="35"/>
      <c r="I139" s="55" t="s">
        <v>13</v>
      </c>
      <c r="J139" s="56"/>
      <c r="K139" s="56"/>
      <c r="L139" s="56"/>
      <c r="M139" s="33"/>
      <c r="N139" s="34"/>
    </row>
    <row r="140" customFormat="false" ht="12.75" hidden="false" customHeight="false" outlineLevel="0" collapsed="false">
      <c r="C140" s="37" t="s">
        <v>183</v>
      </c>
      <c r="D140" s="27"/>
      <c r="E140" s="28" t="s">
        <v>18</v>
      </c>
      <c r="F140" s="29"/>
      <c r="G140" s="51" t="s">
        <v>18</v>
      </c>
      <c r="H140" s="35"/>
      <c r="I140" s="55" t="s">
        <v>13</v>
      </c>
      <c r="J140" s="56"/>
      <c r="K140" s="56"/>
      <c r="L140" s="56"/>
      <c r="M140" s="33"/>
      <c r="N140" s="34"/>
    </row>
    <row r="141" customFormat="false" ht="12.75" hidden="false" customHeight="false" outlineLevel="0" collapsed="false">
      <c r="C141" s="37" t="s">
        <v>184</v>
      </c>
      <c r="D141" s="27"/>
      <c r="E141" s="28" t="s">
        <v>74</v>
      </c>
      <c r="F141" s="29"/>
      <c r="G141" s="51" t="s">
        <v>89</v>
      </c>
      <c r="H141" s="35"/>
      <c r="I141" s="55" t="s">
        <v>13</v>
      </c>
      <c r="J141" s="56"/>
      <c r="K141" s="56"/>
      <c r="L141" s="56"/>
      <c r="M141" s="33"/>
      <c r="N141" s="34"/>
    </row>
    <row r="142" customFormat="false" ht="12.75" hidden="false" customHeight="false" outlineLevel="0" collapsed="false">
      <c r="C142" s="37" t="s">
        <v>185</v>
      </c>
      <c r="D142" s="27"/>
      <c r="E142" s="28" t="s">
        <v>178</v>
      </c>
      <c r="F142" s="29"/>
      <c r="G142" s="51" t="s">
        <v>178</v>
      </c>
      <c r="H142" s="35"/>
      <c r="I142" s="55" t="s">
        <v>13</v>
      </c>
      <c r="J142" s="56"/>
      <c r="K142" s="56"/>
      <c r="L142" s="56"/>
      <c r="M142" s="33"/>
      <c r="N142" s="34"/>
    </row>
    <row r="143" customFormat="false" ht="12.75" hidden="false" customHeight="false" outlineLevel="0" collapsed="false">
      <c r="C143" s="37" t="s">
        <v>186</v>
      </c>
      <c r="D143" s="27"/>
      <c r="E143" s="28" t="s">
        <v>178</v>
      </c>
      <c r="F143" s="29"/>
      <c r="G143" s="51" t="s">
        <v>187</v>
      </c>
      <c r="H143" s="35"/>
      <c r="I143" s="55" t="s">
        <v>13</v>
      </c>
      <c r="J143" s="56"/>
      <c r="K143" s="56"/>
      <c r="L143" s="56"/>
      <c r="M143" s="33"/>
      <c r="N143" s="34"/>
    </row>
    <row r="144" customFormat="false" ht="12.75" hidden="false" customHeight="false" outlineLevel="0" collapsed="false">
      <c r="C144" s="37" t="s">
        <v>188</v>
      </c>
      <c r="D144" s="27"/>
      <c r="E144" s="28" t="s">
        <v>178</v>
      </c>
      <c r="F144" s="29"/>
      <c r="G144" s="51" t="s">
        <v>178</v>
      </c>
      <c r="H144" s="35"/>
      <c r="I144" s="55" t="s">
        <v>13</v>
      </c>
      <c r="J144" s="56"/>
      <c r="K144" s="56"/>
      <c r="L144" s="56"/>
      <c r="M144" s="33"/>
      <c r="N144" s="34"/>
    </row>
    <row r="145" customFormat="false" ht="12.75" hidden="false" customHeight="false" outlineLevel="0" collapsed="false">
      <c r="C145" s="37" t="s">
        <v>189</v>
      </c>
      <c r="D145" s="27"/>
      <c r="E145" s="28" t="s">
        <v>178</v>
      </c>
      <c r="F145" s="29"/>
      <c r="G145" s="51" t="s">
        <v>178</v>
      </c>
      <c r="H145" s="35"/>
      <c r="I145" s="55" t="s">
        <v>13</v>
      </c>
      <c r="J145" s="56"/>
      <c r="K145" s="56"/>
      <c r="L145" s="56"/>
      <c r="M145" s="33"/>
      <c r="N145" s="34"/>
    </row>
    <row r="146" customFormat="false" ht="12.75" hidden="false" customHeight="false" outlineLevel="0" collapsed="false">
      <c r="C146" s="37" t="s">
        <v>190</v>
      </c>
      <c r="D146" s="27"/>
      <c r="E146" s="28" t="s">
        <v>134</v>
      </c>
      <c r="F146" s="29"/>
      <c r="G146" s="51" t="s">
        <v>134</v>
      </c>
      <c r="H146" s="35"/>
      <c r="I146" s="55" t="s">
        <v>13</v>
      </c>
      <c r="J146" s="56"/>
      <c r="K146" s="56"/>
      <c r="L146" s="56"/>
      <c r="M146" s="33"/>
      <c r="N146" s="34"/>
    </row>
    <row r="147" customFormat="false" ht="12.75" hidden="false" customHeight="false" outlineLevel="0" collapsed="false">
      <c r="C147" s="37" t="s">
        <v>191</v>
      </c>
      <c r="D147" s="27"/>
      <c r="E147" s="28" t="s">
        <v>18</v>
      </c>
      <c r="F147" s="29"/>
      <c r="G147" s="51" t="s">
        <v>18</v>
      </c>
      <c r="H147" s="35"/>
      <c r="I147" s="55" t="s">
        <v>13</v>
      </c>
      <c r="J147" s="56"/>
      <c r="K147" s="56"/>
      <c r="L147" s="56"/>
      <c r="M147" s="33"/>
      <c r="N147" s="34"/>
    </row>
    <row r="148" customFormat="false" ht="12.75" hidden="false" customHeight="false" outlineLevel="0" collapsed="false">
      <c r="C148" s="37" t="s">
        <v>192</v>
      </c>
      <c r="D148" s="27"/>
      <c r="E148" s="28" t="s">
        <v>84</v>
      </c>
      <c r="F148" s="29"/>
      <c r="G148" s="51" t="s">
        <v>84</v>
      </c>
      <c r="H148" s="35"/>
      <c r="I148" s="55" t="s">
        <v>13</v>
      </c>
      <c r="J148" s="56"/>
      <c r="K148" s="56"/>
      <c r="L148" s="56"/>
      <c r="M148" s="33"/>
      <c r="N148" s="34"/>
    </row>
    <row r="149" customFormat="false" ht="12.75" hidden="false" customHeight="false" outlineLevel="0" collapsed="false">
      <c r="C149" s="37" t="s">
        <v>193</v>
      </c>
      <c r="D149" s="27"/>
      <c r="E149" s="28" t="s">
        <v>18</v>
      </c>
      <c r="F149" s="29"/>
      <c r="G149" s="51" t="s">
        <v>18</v>
      </c>
      <c r="H149" s="35"/>
      <c r="I149" s="55" t="s">
        <v>13</v>
      </c>
      <c r="J149" s="56"/>
      <c r="K149" s="56"/>
      <c r="L149" s="56"/>
      <c r="M149" s="33"/>
      <c r="N149" s="34"/>
    </row>
    <row r="150" customFormat="false" ht="12.75" hidden="false" customHeight="false" outlineLevel="0" collapsed="false">
      <c r="C150" s="37" t="s">
        <v>194</v>
      </c>
      <c r="D150" s="27"/>
      <c r="E150" s="28" t="s">
        <v>84</v>
      </c>
      <c r="F150" s="29"/>
      <c r="G150" s="51" t="s">
        <v>84</v>
      </c>
      <c r="H150" s="35"/>
      <c r="I150" s="55" t="s">
        <v>13</v>
      </c>
      <c r="J150" s="56"/>
      <c r="K150" s="56"/>
      <c r="L150" s="56"/>
      <c r="M150" s="33"/>
      <c r="N150" s="34"/>
    </row>
    <row r="151" customFormat="false" ht="12.75" hidden="false" customHeight="false" outlineLevel="0" collapsed="false">
      <c r="C151" s="37" t="s">
        <v>195</v>
      </c>
      <c r="D151" s="27"/>
      <c r="E151" s="28" t="s">
        <v>18</v>
      </c>
      <c r="F151" s="29"/>
      <c r="G151" s="51" t="s">
        <v>18</v>
      </c>
      <c r="H151" s="35"/>
      <c r="I151" s="55" t="s">
        <v>13</v>
      </c>
      <c r="J151" s="56"/>
      <c r="K151" s="56"/>
      <c r="L151" s="56"/>
      <c r="M151" s="33"/>
      <c r="N151" s="34"/>
    </row>
    <row r="152" customFormat="false" ht="12.75" hidden="false" customHeight="false" outlineLevel="0" collapsed="false">
      <c r="C152" s="37" t="s">
        <v>196</v>
      </c>
      <c r="D152" s="27"/>
      <c r="E152" s="28" t="s">
        <v>197</v>
      </c>
      <c r="F152" s="29"/>
      <c r="G152" s="51" t="s">
        <v>197</v>
      </c>
      <c r="H152" s="35"/>
      <c r="I152" s="55" t="s">
        <v>11</v>
      </c>
      <c r="J152" s="56"/>
      <c r="K152" s="56"/>
      <c r="L152" s="56"/>
      <c r="M152" s="33"/>
      <c r="N152" s="34"/>
    </row>
    <row r="153" customFormat="false" ht="12.75" hidden="false" customHeight="false" outlineLevel="0" collapsed="false">
      <c r="C153" s="37" t="s">
        <v>198</v>
      </c>
      <c r="D153" s="27"/>
      <c r="E153" s="28" t="s">
        <v>84</v>
      </c>
      <c r="F153" s="29"/>
      <c r="G153" s="51" t="s">
        <v>197</v>
      </c>
      <c r="H153" s="35"/>
      <c r="I153" s="55" t="s">
        <v>13</v>
      </c>
      <c r="J153" s="56"/>
      <c r="K153" s="56"/>
      <c r="L153" s="56"/>
      <c r="M153" s="33"/>
      <c r="N153" s="34"/>
    </row>
    <row r="154" customFormat="false" ht="12.75" hidden="false" customHeight="false" outlineLevel="0" collapsed="false">
      <c r="C154" s="37" t="s">
        <v>199</v>
      </c>
      <c r="D154" s="27"/>
      <c r="E154" s="28" t="s">
        <v>18</v>
      </c>
      <c r="F154" s="29"/>
      <c r="G154" s="51" t="s">
        <v>18</v>
      </c>
      <c r="H154" s="35"/>
      <c r="I154" s="55" t="s">
        <v>13</v>
      </c>
      <c r="J154" s="56"/>
      <c r="K154" s="56"/>
      <c r="L154" s="56"/>
      <c r="M154" s="33"/>
      <c r="N154" s="34"/>
    </row>
    <row r="155" customFormat="false" ht="12.75" hidden="false" customHeight="false" outlineLevel="0" collapsed="false">
      <c r="C155" s="37" t="s">
        <v>200</v>
      </c>
      <c r="D155" s="27"/>
      <c r="E155" s="28" t="s">
        <v>18</v>
      </c>
      <c r="F155" s="29"/>
      <c r="G155" s="51" t="s">
        <v>18</v>
      </c>
      <c r="H155" s="35"/>
      <c r="I155" s="55" t="s">
        <v>13</v>
      </c>
      <c r="J155" s="56"/>
      <c r="K155" s="56"/>
      <c r="L155" s="56"/>
      <c r="M155" s="33"/>
      <c r="N155" s="34"/>
    </row>
    <row r="156" customFormat="false" ht="12.75" hidden="false" customHeight="false" outlineLevel="0" collapsed="false">
      <c r="C156" s="37" t="s">
        <v>201</v>
      </c>
      <c r="D156" s="27"/>
      <c r="E156" s="28" t="s">
        <v>18</v>
      </c>
      <c r="F156" s="29"/>
      <c r="G156" s="51" t="s">
        <v>202</v>
      </c>
      <c r="H156" s="35"/>
      <c r="I156" s="55" t="s">
        <v>13</v>
      </c>
      <c r="J156" s="56"/>
      <c r="K156" s="56"/>
      <c r="L156" s="56"/>
      <c r="M156" s="33"/>
      <c r="N156" s="34"/>
    </row>
    <row r="157" customFormat="false" ht="12.75" hidden="false" customHeight="false" outlineLevel="0" collapsed="false">
      <c r="C157" s="37" t="s">
        <v>203</v>
      </c>
      <c r="D157" s="27"/>
      <c r="E157" s="28" t="s">
        <v>18</v>
      </c>
      <c r="F157" s="29"/>
      <c r="G157" s="51" t="s">
        <v>18</v>
      </c>
      <c r="H157" s="35"/>
      <c r="I157" s="55" t="s">
        <v>13</v>
      </c>
      <c r="J157" s="56"/>
      <c r="K157" s="56"/>
      <c r="L157" s="56"/>
      <c r="M157" s="33"/>
      <c r="N157" s="34"/>
    </row>
    <row r="158" customFormat="false" ht="12.75" hidden="false" customHeight="false" outlineLevel="0" collapsed="false">
      <c r="C158" s="37" t="s">
        <v>204</v>
      </c>
      <c r="D158" s="27"/>
      <c r="E158" s="28" t="s">
        <v>157</v>
      </c>
      <c r="F158" s="29"/>
      <c r="G158" s="51" t="s">
        <v>157</v>
      </c>
      <c r="H158" s="35"/>
      <c r="I158" s="55" t="s">
        <v>13</v>
      </c>
      <c r="J158" s="56"/>
      <c r="K158" s="56"/>
      <c r="L158" s="56"/>
      <c r="M158" s="33"/>
      <c r="N158" s="34"/>
    </row>
    <row r="159" customFormat="false" ht="12.75" hidden="false" customHeight="false" outlineLevel="0" collapsed="false">
      <c r="C159" s="37" t="s">
        <v>205</v>
      </c>
      <c r="D159" s="27"/>
      <c r="E159" s="28" t="s">
        <v>134</v>
      </c>
      <c r="F159" s="29"/>
      <c r="G159" s="51" t="s">
        <v>134</v>
      </c>
      <c r="H159" s="35"/>
      <c r="I159" s="55" t="s">
        <v>13</v>
      </c>
      <c r="J159" s="56"/>
      <c r="K159" s="56"/>
      <c r="L159" s="56"/>
      <c r="M159" s="33"/>
      <c r="N159" s="34"/>
    </row>
    <row r="160" customFormat="false" ht="12.75" hidden="false" customHeight="false" outlineLevel="0" collapsed="false">
      <c r="C160" s="37" t="s">
        <v>206</v>
      </c>
      <c r="D160" s="27"/>
      <c r="E160" s="28" t="s">
        <v>24</v>
      </c>
      <c r="F160" s="29"/>
      <c r="G160" s="51" t="s">
        <v>18</v>
      </c>
      <c r="H160" s="35"/>
      <c r="I160" s="55" t="s">
        <v>13</v>
      </c>
      <c r="J160" s="56"/>
      <c r="K160" s="56"/>
      <c r="L160" s="56"/>
      <c r="M160" s="33"/>
      <c r="N160" s="34"/>
    </row>
    <row r="161" customFormat="false" ht="12.75" hidden="false" customHeight="false" outlineLevel="0" collapsed="false">
      <c r="C161" s="37"/>
      <c r="D161" s="27"/>
      <c r="E161" s="28"/>
      <c r="F161" s="29"/>
      <c r="G161" s="51"/>
      <c r="H161" s="35"/>
      <c r="I161" s="55" t="s">
        <v>11</v>
      </c>
      <c r="J161" s="56"/>
      <c r="K161" s="56"/>
      <c r="L161" s="56"/>
      <c r="M161" s="33"/>
      <c r="N161" s="34"/>
    </row>
    <row r="162" customFormat="false" ht="12.75" hidden="false" customHeight="false" outlineLevel="0" collapsed="false">
      <c r="C162" s="37" t="s">
        <v>207</v>
      </c>
      <c r="D162" s="27"/>
      <c r="E162" s="28" t="s">
        <v>178</v>
      </c>
      <c r="F162" s="29"/>
      <c r="G162" s="51" t="s">
        <v>178</v>
      </c>
      <c r="H162" s="35"/>
      <c r="I162" s="55" t="s">
        <v>13</v>
      </c>
      <c r="J162" s="56"/>
      <c r="K162" s="56"/>
      <c r="L162" s="56"/>
      <c r="M162" s="33"/>
      <c r="N162" s="34"/>
    </row>
    <row r="163" customFormat="false" ht="12.75" hidden="false" customHeight="false" outlineLevel="0" collapsed="false">
      <c r="C163" s="37" t="s">
        <v>208</v>
      </c>
      <c r="D163" s="27"/>
      <c r="E163" s="28" t="s">
        <v>209</v>
      </c>
      <c r="F163" s="29"/>
      <c r="G163" s="51" t="s">
        <v>209</v>
      </c>
      <c r="H163" s="35"/>
      <c r="I163" s="55" t="s">
        <v>13</v>
      </c>
      <c r="J163" s="56"/>
      <c r="K163" s="56"/>
      <c r="L163" s="56"/>
      <c r="M163" s="33"/>
      <c r="N163" s="34"/>
    </row>
    <row r="164" customFormat="false" ht="12.75" hidden="false" customHeight="false" outlineLevel="0" collapsed="false">
      <c r="C164" s="37" t="s">
        <v>210</v>
      </c>
      <c r="D164" s="27"/>
      <c r="E164" s="28" t="s">
        <v>18</v>
      </c>
      <c r="F164" s="29"/>
      <c r="G164" s="51" t="s">
        <v>18</v>
      </c>
      <c r="H164" s="35"/>
      <c r="I164" s="55" t="s">
        <v>13</v>
      </c>
      <c r="J164" s="56"/>
      <c r="K164" s="56"/>
      <c r="L164" s="56"/>
      <c r="M164" s="33"/>
      <c r="N164" s="34"/>
    </row>
    <row r="165" customFormat="false" ht="12.75" hidden="false" customHeight="false" outlineLevel="0" collapsed="false">
      <c r="C165" s="37" t="s">
        <v>211</v>
      </c>
      <c r="D165" s="27"/>
      <c r="E165" s="28" t="s">
        <v>18</v>
      </c>
      <c r="F165" s="29"/>
      <c r="G165" s="51" t="s">
        <v>18</v>
      </c>
      <c r="H165" s="35"/>
      <c r="I165" s="55" t="s">
        <v>13</v>
      </c>
      <c r="J165" s="56"/>
      <c r="K165" s="56"/>
      <c r="L165" s="56"/>
      <c r="M165" s="33"/>
      <c r="N165" s="34"/>
    </row>
    <row r="166" customFormat="false" ht="12.75" hidden="false" customHeight="false" outlineLevel="0" collapsed="false">
      <c r="C166" s="37" t="s">
        <v>212</v>
      </c>
      <c r="D166" s="27"/>
      <c r="E166" s="28" t="s">
        <v>18</v>
      </c>
      <c r="F166" s="29"/>
      <c r="G166" s="51" t="s">
        <v>29</v>
      </c>
      <c r="H166" s="35"/>
      <c r="I166" s="55" t="s">
        <v>13</v>
      </c>
      <c r="J166" s="56"/>
      <c r="K166" s="56"/>
      <c r="L166" s="56"/>
      <c r="M166" s="33"/>
      <c r="N166" s="34"/>
    </row>
    <row r="167" customFormat="false" ht="12.75" hidden="false" customHeight="false" outlineLevel="0" collapsed="false">
      <c r="C167" s="57" t="s">
        <v>213</v>
      </c>
      <c r="D167" s="58"/>
      <c r="E167" s="59"/>
      <c r="F167" s="60"/>
      <c r="G167" s="61"/>
      <c r="H167" s="62"/>
      <c r="I167" s="55" t="s">
        <v>13</v>
      </c>
      <c r="J167" s="56"/>
      <c r="K167" s="56"/>
      <c r="L167" s="56"/>
      <c r="M167" s="33"/>
      <c r="N167" s="34"/>
    </row>
    <row r="168" customFormat="false" ht="12.75" hidden="false" customHeight="false" outlineLevel="0" collapsed="false">
      <c r="C168" s="63" t="s">
        <v>214</v>
      </c>
      <c r="D168" s="63"/>
      <c r="E168" s="64" t="s">
        <v>84</v>
      </c>
      <c r="F168" s="64"/>
      <c r="G168" s="65" t="s">
        <v>215</v>
      </c>
      <c r="H168" s="66"/>
      <c r="I168" s="55" t="s">
        <v>13</v>
      </c>
      <c r="J168" s="56"/>
      <c r="K168" s="56"/>
      <c r="L168" s="56"/>
      <c r="M168" s="33"/>
      <c r="N168" s="34"/>
    </row>
    <row r="169" customFormat="false" ht="12.75" hidden="false" customHeight="false" outlineLevel="0" collapsed="false">
      <c r="C169" s="63" t="s">
        <v>216</v>
      </c>
      <c r="D169" s="63"/>
      <c r="E169" s="67" t="s">
        <v>217</v>
      </c>
      <c r="F169" s="67"/>
      <c r="G169" s="67" t="s">
        <v>217</v>
      </c>
      <c r="H169" s="68"/>
      <c r="I169" s="40" t="s">
        <v>218</v>
      </c>
      <c r="J169" s="56"/>
      <c r="K169" s="56"/>
      <c r="L169" s="56"/>
      <c r="M169" s="33" t="n">
        <f aca="false">MIN(J169:L169)</f>
        <v>0</v>
      </c>
      <c r="N169" s="34" t="e">
        <f aca="false">SUM(M169/E169)</f>
        <v>#VALUE!</v>
      </c>
    </row>
    <row r="170" customFormat="false" ht="12.75" hidden="false" customHeight="false" outlineLevel="0" collapsed="false">
      <c r="C170" s="37" t="s">
        <v>219</v>
      </c>
      <c r="D170" s="69"/>
      <c r="E170" s="64" t="s">
        <v>18</v>
      </c>
      <c r="F170" s="64"/>
      <c r="G170" s="65" t="s">
        <v>18</v>
      </c>
      <c r="H170" s="66"/>
      <c r="I170" s="40" t="s">
        <v>218</v>
      </c>
      <c r="J170" s="56"/>
      <c r="K170" s="56"/>
      <c r="L170" s="56"/>
      <c r="M170" s="33"/>
      <c r="N170" s="34"/>
    </row>
    <row r="171" customFormat="false" ht="12.75" hidden="false" customHeight="false" outlineLevel="0" collapsed="false">
      <c r="C171" s="37" t="s">
        <v>220</v>
      </c>
      <c r="D171" s="69"/>
      <c r="E171" s="64" t="s">
        <v>84</v>
      </c>
      <c r="F171" s="64"/>
      <c r="G171" s="65" t="s">
        <v>215</v>
      </c>
      <c r="H171" s="66"/>
      <c r="I171" s="40" t="s">
        <v>221</v>
      </c>
      <c r="J171" s="56"/>
      <c r="K171" s="56"/>
      <c r="L171" s="56"/>
      <c r="M171" s="33"/>
      <c r="N171" s="34"/>
    </row>
    <row r="172" customFormat="false" ht="12.75" hidden="false" customHeight="false" outlineLevel="0" collapsed="false">
      <c r="C172" s="37" t="s">
        <v>222</v>
      </c>
      <c r="D172" s="69"/>
      <c r="E172" s="64" t="s">
        <v>18</v>
      </c>
      <c r="F172" s="64"/>
      <c r="G172" s="65" t="s">
        <v>18</v>
      </c>
      <c r="H172" s="66"/>
      <c r="I172" s="40" t="s">
        <v>141</v>
      </c>
      <c r="J172" s="56"/>
      <c r="K172" s="56"/>
      <c r="L172" s="56"/>
      <c r="M172" s="33"/>
      <c r="N172" s="34"/>
    </row>
    <row r="173" customFormat="false" ht="12.75" hidden="false" customHeight="false" outlineLevel="0" collapsed="false">
      <c r="C173" s="37" t="s">
        <v>223</v>
      </c>
      <c r="D173" s="69"/>
      <c r="E173" s="64" t="s">
        <v>18</v>
      </c>
      <c r="F173" s="64"/>
      <c r="G173" s="65" t="s">
        <v>18</v>
      </c>
      <c r="H173" s="66"/>
      <c r="I173" s="40" t="s">
        <v>163</v>
      </c>
      <c r="J173" s="56"/>
      <c r="K173" s="56"/>
      <c r="L173" s="56"/>
      <c r="M173" s="33"/>
      <c r="N173" s="34"/>
    </row>
    <row r="174" s="2" customFormat="true" ht="16.5" hidden="false" customHeight="true" outlineLevel="0" collapsed="false">
      <c r="C174" s="70" t="s">
        <v>224</v>
      </c>
      <c r="D174" s="70"/>
      <c r="E174" s="71"/>
      <c r="F174" s="71"/>
      <c r="G174" s="71"/>
      <c r="H174" s="72"/>
      <c r="I174" s="44"/>
      <c r="J174" s="45"/>
      <c r="K174" s="45"/>
      <c r="L174" s="45"/>
      <c r="M174" s="33" t="n">
        <f aca="false">MIN(J174:L174)</f>
        <v>0</v>
      </c>
      <c r="N174" s="34" t="e">
        <f aca="false">SUM(M174/E174)</f>
        <v>#DIV/0!</v>
      </c>
    </row>
    <row r="175" s="2" customFormat="true" ht="16.5" hidden="false" customHeight="true" outlineLevel="0" collapsed="false">
      <c r="C175" s="70"/>
      <c r="D175" s="70"/>
      <c r="E175" s="46" t="s">
        <v>6</v>
      </c>
      <c r="F175" s="47"/>
      <c r="G175" s="48" t="s">
        <v>7</v>
      </c>
      <c r="H175" s="49" t="s">
        <v>8</v>
      </c>
      <c r="I175" s="44"/>
      <c r="J175" s="45"/>
      <c r="K175" s="45"/>
      <c r="L175" s="45"/>
      <c r="M175" s="33" t="n">
        <f aca="false">MIN(J175:L175)</f>
        <v>0</v>
      </c>
      <c r="N175" s="34" t="e">
        <f aca="false">SUM(M175/E175)</f>
        <v>#VALUE!</v>
      </c>
    </row>
    <row r="176" customFormat="false" ht="12.75" hidden="false" customHeight="false" outlineLevel="0" collapsed="false">
      <c r="C176" s="26" t="s">
        <v>225</v>
      </c>
      <c r="D176" s="27"/>
      <c r="E176" s="28" t="s">
        <v>18</v>
      </c>
      <c r="F176" s="29"/>
      <c r="G176" s="51" t="s">
        <v>29</v>
      </c>
      <c r="H176" s="35"/>
      <c r="I176" s="73" t="s">
        <v>13</v>
      </c>
      <c r="J176" s="56"/>
      <c r="K176" s="56"/>
      <c r="L176" s="56"/>
      <c r="M176" s="33" t="n">
        <f aca="false">MIN(J176:L176)</f>
        <v>0</v>
      </c>
      <c r="N176" s="34" t="e">
        <f aca="false">SUM(M176/E176)</f>
        <v>#VALUE!</v>
      </c>
    </row>
    <row r="177" customFormat="false" ht="12.75" hidden="false" customHeight="false" outlineLevel="0" collapsed="false">
      <c r="C177" s="36" t="s">
        <v>226</v>
      </c>
      <c r="D177" s="27"/>
      <c r="E177" s="28" t="s">
        <v>18</v>
      </c>
      <c r="F177" s="29"/>
      <c r="G177" s="51" t="s">
        <v>18</v>
      </c>
      <c r="H177" s="35"/>
      <c r="I177" s="73" t="s">
        <v>13</v>
      </c>
      <c r="J177" s="56"/>
      <c r="K177" s="56"/>
      <c r="L177" s="56"/>
      <c r="M177" s="33"/>
      <c r="N177" s="34"/>
    </row>
    <row r="178" customFormat="false" ht="12.75" hidden="false" customHeight="false" outlineLevel="0" collapsed="false">
      <c r="C178" s="36" t="s">
        <v>227</v>
      </c>
      <c r="D178" s="27"/>
      <c r="E178" s="28" t="s">
        <v>18</v>
      </c>
      <c r="F178" s="29"/>
      <c r="G178" s="51" t="s">
        <v>18</v>
      </c>
      <c r="H178" s="35"/>
      <c r="I178" s="73" t="s">
        <v>13</v>
      </c>
      <c r="J178" s="56"/>
      <c r="K178" s="56"/>
      <c r="L178" s="56"/>
      <c r="M178" s="33"/>
      <c r="N178" s="34"/>
    </row>
    <row r="179" customFormat="false" ht="12.75" hidden="false" customHeight="false" outlineLevel="0" collapsed="false">
      <c r="C179" s="36" t="s">
        <v>228</v>
      </c>
      <c r="D179" s="27"/>
      <c r="E179" s="28" t="s">
        <v>18</v>
      </c>
      <c r="F179" s="29"/>
      <c r="G179" s="51" t="s">
        <v>18</v>
      </c>
      <c r="H179" s="35"/>
      <c r="I179" s="73" t="s">
        <v>13</v>
      </c>
      <c r="J179" s="56"/>
      <c r="K179" s="56"/>
      <c r="L179" s="56"/>
      <c r="M179" s="33"/>
      <c r="N179" s="34"/>
    </row>
    <row r="180" customFormat="false" ht="12.75" hidden="false" customHeight="false" outlineLevel="0" collapsed="false">
      <c r="C180" s="36" t="s">
        <v>229</v>
      </c>
      <c r="D180" s="27"/>
      <c r="E180" s="28" t="s">
        <v>18</v>
      </c>
      <c r="F180" s="29"/>
      <c r="G180" s="51" t="s">
        <v>29</v>
      </c>
      <c r="H180" s="35"/>
      <c r="I180" s="73" t="s">
        <v>13</v>
      </c>
      <c r="J180" s="56"/>
      <c r="K180" s="56"/>
      <c r="L180" s="56"/>
      <c r="M180" s="33"/>
      <c r="N180" s="34"/>
    </row>
    <row r="181" customFormat="false" ht="12.75" hidden="false" customHeight="false" outlineLevel="0" collapsed="false">
      <c r="C181" s="26" t="s">
        <v>230</v>
      </c>
      <c r="D181" s="27"/>
      <c r="E181" s="28" t="s">
        <v>18</v>
      </c>
      <c r="F181" s="29"/>
      <c r="G181" s="51" t="s">
        <v>18</v>
      </c>
      <c r="H181" s="35"/>
      <c r="I181" s="73" t="s">
        <v>13</v>
      </c>
      <c r="J181" s="56"/>
      <c r="K181" s="56"/>
      <c r="L181" s="56"/>
      <c r="M181" s="33" t="n">
        <f aca="false">MIN(J181:L181)</f>
        <v>0</v>
      </c>
      <c r="N181" s="34" t="e">
        <f aca="false">SUM(M181/E181)</f>
        <v>#VALUE!</v>
      </c>
    </row>
    <row r="182" customFormat="false" ht="12.75" hidden="false" customHeight="false" outlineLevel="0" collapsed="false">
      <c r="C182" s="36" t="s">
        <v>231</v>
      </c>
      <c r="D182" s="27"/>
      <c r="E182" s="28" t="s">
        <v>18</v>
      </c>
      <c r="F182" s="29"/>
      <c r="G182" s="51" t="s">
        <v>18</v>
      </c>
      <c r="H182" s="35"/>
      <c r="I182" s="73"/>
      <c r="J182" s="56"/>
      <c r="K182" s="56"/>
      <c r="L182" s="56"/>
      <c r="M182" s="33"/>
      <c r="N182" s="34"/>
    </row>
    <row r="183" customFormat="false" ht="12.75" hidden="false" customHeight="false" outlineLevel="0" collapsed="false">
      <c r="C183" s="36" t="s">
        <v>232</v>
      </c>
      <c r="D183" s="27"/>
      <c r="E183" s="28"/>
      <c r="F183" s="29"/>
      <c r="G183" s="51"/>
      <c r="H183" s="35"/>
      <c r="I183" s="73" t="s">
        <v>13</v>
      </c>
      <c r="J183" s="56"/>
      <c r="K183" s="56"/>
      <c r="L183" s="56"/>
      <c r="M183" s="33" t="n">
        <f aca="false">MIN(J183:L183)</f>
        <v>0</v>
      </c>
      <c r="N183" s="34" t="e">
        <f aca="false">SUM(M183/E183)</f>
        <v>#DIV/0!</v>
      </c>
    </row>
    <row r="184" customFormat="false" ht="12.75" hidden="false" customHeight="false" outlineLevel="0" collapsed="false">
      <c r="C184" s="36" t="s">
        <v>233</v>
      </c>
      <c r="D184" s="27"/>
      <c r="E184" s="28"/>
      <c r="F184" s="29"/>
      <c r="G184" s="51"/>
      <c r="H184" s="35"/>
      <c r="I184" s="73" t="s">
        <v>13</v>
      </c>
      <c r="J184" s="56"/>
      <c r="K184" s="56"/>
      <c r="L184" s="56"/>
      <c r="M184" s="33"/>
      <c r="N184" s="34"/>
    </row>
    <row r="185" customFormat="false" ht="12.75" hidden="false" customHeight="false" outlineLevel="0" collapsed="false">
      <c r="C185" s="26" t="s">
        <v>234</v>
      </c>
      <c r="D185" s="27"/>
      <c r="E185" s="28" t="s">
        <v>18</v>
      </c>
      <c r="F185" s="29"/>
      <c r="G185" s="51" t="s">
        <v>18</v>
      </c>
      <c r="H185" s="35"/>
      <c r="I185" s="73" t="s">
        <v>13</v>
      </c>
      <c r="J185" s="56"/>
      <c r="K185" s="56"/>
      <c r="L185" s="56"/>
      <c r="M185" s="33" t="n">
        <f aca="false">MIN(J185:L185)</f>
        <v>0</v>
      </c>
      <c r="N185" s="34" t="e">
        <f aca="false">SUM(M185/E185)</f>
        <v>#VALUE!</v>
      </c>
    </row>
    <row r="186" customFormat="false" ht="12.75" hidden="false" customHeight="false" outlineLevel="0" collapsed="false">
      <c r="C186" s="26"/>
      <c r="D186" s="27"/>
      <c r="E186" s="28"/>
      <c r="F186" s="29"/>
      <c r="G186" s="51"/>
      <c r="H186" s="35"/>
      <c r="I186" s="73" t="s">
        <v>13</v>
      </c>
      <c r="J186" s="56"/>
      <c r="K186" s="56"/>
      <c r="L186" s="56"/>
      <c r="M186" s="33" t="n">
        <f aca="false">MIN(J186:L186)</f>
        <v>0</v>
      </c>
      <c r="N186" s="34" t="e">
        <f aca="false">SUM(M186/E186)</f>
        <v>#DIV/0!</v>
      </c>
    </row>
    <row r="187" customFormat="false" ht="12.75" hidden="false" customHeight="false" outlineLevel="0" collapsed="false">
      <c r="C187" s="26" t="s">
        <v>235</v>
      </c>
      <c r="D187" s="27"/>
      <c r="E187" s="28" t="s">
        <v>18</v>
      </c>
      <c r="F187" s="29"/>
      <c r="G187" s="51" t="s">
        <v>18</v>
      </c>
      <c r="H187" s="35"/>
      <c r="I187" s="73" t="s">
        <v>13</v>
      </c>
      <c r="J187" s="56"/>
      <c r="K187" s="56"/>
      <c r="L187" s="56"/>
      <c r="M187" s="33" t="n">
        <f aca="false">MIN(J187:L187)</f>
        <v>0</v>
      </c>
      <c r="N187" s="34" t="e">
        <f aca="false">SUM(M187/E187)</f>
        <v>#VALUE!</v>
      </c>
    </row>
    <row r="188" customFormat="false" ht="12.75" hidden="false" customHeight="false" outlineLevel="0" collapsed="false">
      <c r="C188" s="26" t="s">
        <v>236</v>
      </c>
      <c r="D188" s="27"/>
      <c r="E188" s="28" t="s">
        <v>18</v>
      </c>
      <c r="F188" s="29"/>
      <c r="G188" s="51" t="s">
        <v>18</v>
      </c>
      <c r="H188" s="35"/>
      <c r="I188" s="73" t="s">
        <v>13</v>
      </c>
      <c r="J188" s="56"/>
      <c r="K188" s="56"/>
      <c r="L188" s="56"/>
      <c r="M188" s="33" t="n">
        <f aca="false">MIN(J188:L188)</f>
        <v>0</v>
      </c>
      <c r="N188" s="34" t="e">
        <f aca="false">SUM(M188/E188)</f>
        <v>#VALUE!</v>
      </c>
    </row>
    <row r="189" customFormat="false" ht="12.75" hidden="false" customHeight="false" outlineLevel="0" collapsed="false">
      <c r="C189" s="74" t="s">
        <v>237</v>
      </c>
      <c r="D189" s="75"/>
      <c r="E189" s="28" t="s">
        <v>18</v>
      </c>
      <c r="F189" s="29"/>
      <c r="G189" s="51" t="s">
        <v>18</v>
      </c>
      <c r="H189" s="35"/>
      <c r="I189" s="73" t="s">
        <v>13</v>
      </c>
      <c r="J189" s="56"/>
      <c r="K189" s="56"/>
      <c r="L189" s="56"/>
      <c r="M189" s="33" t="n">
        <f aca="false">MIN(J189:L189)</f>
        <v>0</v>
      </c>
      <c r="N189" s="34" t="e">
        <f aca="false">SUM(M189/E189)</f>
        <v>#VALUE!</v>
      </c>
    </row>
    <row r="190" customFormat="false" ht="12.75" hidden="false" customHeight="false" outlineLevel="0" collapsed="false">
      <c r="C190" s="74" t="s">
        <v>238</v>
      </c>
      <c r="D190" s="75"/>
      <c r="E190" s="28" t="s">
        <v>18</v>
      </c>
      <c r="F190" s="29"/>
      <c r="G190" s="51" t="s">
        <v>18</v>
      </c>
      <c r="H190" s="35"/>
      <c r="I190" s="73" t="s">
        <v>13</v>
      </c>
      <c r="J190" s="56"/>
      <c r="K190" s="56"/>
      <c r="L190" s="56"/>
      <c r="M190" s="33" t="n">
        <f aca="false">MIN(J190:L190)</f>
        <v>0</v>
      </c>
      <c r="N190" s="34" t="e">
        <f aca="false">SUM(M190/E190)</f>
        <v>#VALUE!</v>
      </c>
    </row>
    <row r="191" customFormat="false" ht="12.75" hidden="false" customHeight="false" outlineLevel="0" collapsed="false">
      <c r="C191" s="74" t="s">
        <v>239</v>
      </c>
      <c r="D191" s="75"/>
      <c r="E191" s="28" t="s">
        <v>18</v>
      </c>
      <c r="F191" s="29"/>
      <c r="G191" s="51" t="s">
        <v>18</v>
      </c>
      <c r="H191" s="35"/>
      <c r="I191" s="73" t="s">
        <v>13</v>
      </c>
      <c r="J191" s="56"/>
      <c r="K191" s="56"/>
      <c r="L191" s="56"/>
      <c r="M191" s="33" t="n">
        <f aca="false">MIN(J191:L191)</f>
        <v>0</v>
      </c>
      <c r="N191" s="34" t="e">
        <f aca="false">SUM(M191/E191)</f>
        <v>#VALUE!</v>
      </c>
    </row>
    <row r="192" customFormat="false" ht="12.75" hidden="false" customHeight="false" outlineLevel="0" collapsed="false">
      <c r="C192" s="76" t="s">
        <v>240</v>
      </c>
      <c r="D192" s="75"/>
      <c r="E192" s="64" t="s">
        <v>18</v>
      </c>
      <c r="F192" s="64"/>
      <c r="G192" s="65" t="s">
        <v>18</v>
      </c>
      <c r="H192" s="77"/>
      <c r="I192" s="73" t="s">
        <v>13</v>
      </c>
      <c r="J192" s="56"/>
      <c r="K192" s="56"/>
      <c r="L192" s="56"/>
      <c r="M192" s="33" t="n">
        <f aca="false">MIN(J192:L192)</f>
        <v>0</v>
      </c>
      <c r="N192" s="34" t="e">
        <f aca="false">SUM(M192/E192)</f>
        <v>#VALUE!</v>
      </c>
    </row>
    <row r="193" customFormat="false" ht="12.75" hidden="false" customHeight="false" outlineLevel="0" collapsed="false">
      <c r="C193" s="76" t="s">
        <v>241</v>
      </c>
      <c r="D193" s="75"/>
      <c r="E193" s="64" t="s">
        <v>18</v>
      </c>
      <c r="F193" s="64"/>
      <c r="G193" s="65" t="s">
        <v>18</v>
      </c>
      <c r="H193" s="78"/>
      <c r="I193" s="73" t="s">
        <v>13</v>
      </c>
      <c r="J193" s="56"/>
      <c r="K193" s="56"/>
      <c r="L193" s="56"/>
      <c r="M193" s="33" t="n">
        <f aca="false">MIN(J193:L193)</f>
        <v>0</v>
      </c>
      <c r="N193" s="34" t="e">
        <f aca="false">SUM(M193/E193)</f>
        <v>#VALUE!</v>
      </c>
    </row>
    <row r="194" customFormat="false" ht="12.75" hidden="false" customHeight="false" outlineLevel="0" collapsed="false">
      <c r="C194" s="76" t="s">
        <v>242</v>
      </c>
      <c r="D194" s="29"/>
      <c r="E194" s="64" t="s">
        <v>18</v>
      </c>
      <c r="F194" s="64"/>
      <c r="G194" s="65" t="s">
        <v>18</v>
      </c>
      <c r="H194" s="66"/>
      <c r="I194" s="73" t="s">
        <v>13</v>
      </c>
      <c r="J194" s="56"/>
      <c r="K194" s="56"/>
      <c r="L194" s="56"/>
      <c r="M194" s="33" t="n">
        <f aca="false">MIN(J194:L194)</f>
        <v>0</v>
      </c>
      <c r="N194" s="34" t="e">
        <f aca="false">SUM(M194/E194)</f>
        <v>#VALUE!</v>
      </c>
    </row>
    <row r="195" customFormat="false" ht="12.75" hidden="false" customHeight="false" outlineLevel="0" collapsed="false">
      <c r="C195" s="79" t="s">
        <v>243</v>
      </c>
      <c r="D195" s="79"/>
      <c r="E195" s="64" t="s">
        <v>18</v>
      </c>
      <c r="F195" s="64"/>
      <c r="G195" s="65" t="s">
        <v>18</v>
      </c>
      <c r="H195" s="66"/>
      <c r="I195" s="73"/>
      <c r="J195" s="56"/>
      <c r="K195" s="56"/>
      <c r="L195" s="56"/>
      <c r="M195" s="33"/>
      <c r="N195" s="34"/>
    </row>
    <row r="196" customFormat="false" ht="12.75" hidden="false" customHeight="false" outlineLevel="0" collapsed="false">
      <c r="C196" s="79" t="s">
        <v>244</v>
      </c>
      <c r="D196" s="79"/>
      <c r="E196" s="64" t="s">
        <v>18</v>
      </c>
      <c r="F196" s="64"/>
      <c r="G196" s="65" t="s">
        <v>29</v>
      </c>
      <c r="H196" s="66"/>
      <c r="I196" s="73"/>
      <c r="J196" s="56"/>
      <c r="K196" s="56"/>
      <c r="L196" s="56"/>
      <c r="M196" s="33"/>
      <c r="N196" s="34"/>
    </row>
    <row r="197" customFormat="false" ht="12.75" hidden="false" customHeight="false" outlineLevel="0" collapsed="false">
      <c r="C197" s="79" t="s">
        <v>245</v>
      </c>
      <c r="D197" s="79"/>
      <c r="E197" s="64" t="s">
        <v>18</v>
      </c>
      <c r="F197" s="64"/>
      <c r="G197" s="65" t="s">
        <v>18</v>
      </c>
      <c r="H197" s="66"/>
      <c r="I197" s="73" t="s">
        <v>151</v>
      </c>
      <c r="J197" s="56"/>
      <c r="K197" s="56"/>
      <c r="L197" s="56"/>
      <c r="M197" s="33"/>
      <c r="N197" s="34"/>
    </row>
    <row r="198" customFormat="false" ht="12.75" hidden="false" customHeight="false" outlineLevel="0" collapsed="false">
      <c r="C198" s="79" t="s">
        <v>246</v>
      </c>
      <c r="D198" s="79"/>
      <c r="E198" s="64" t="s">
        <v>18</v>
      </c>
      <c r="F198" s="64"/>
      <c r="G198" s="65" t="s">
        <v>18</v>
      </c>
      <c r="H198" s="66"/>
      <c r="I198" s="73" t="s">
        <v>13</v>
      </c>
      <c r="J198" s="56"/>
      <c r="K198" s="56"/>
      <c r="L198" s="56"/>
      <c r="M198" s="33"/>
      <c r="N198" s="34"/>
    </row>
    <row r="199" customFormat="false" ht="12.75" hidden="false" customHeight="false" outlineLevel="0" collapsed="false">
      <c r="C199" s="79" t="s">
        <v>247</v>
      </c>
      <c r="D199" s="79"/>
      <c r="E199" s="64" t="s">
        <v>18</v>
      </c>
      <c r="F199" s="64"/>
      <c r="G199" s="65" t="s">
        <v>18</v>
      </c>
      <c r="H199" s="66"/>
      <c r="I199" s="73" t="s">
        <v>13</v>
      </c>
      <c r="J199" s="56"/>
      <c r="K199" s="56"/>
      <c r="L199" s="56"/>
      <c r="M199" s="33" t="n">
        <f aca="false">MIN(J199:L199)</f>
        <v>0</v>
      </c>
      <c r="N199" s="34" t="e">
        <f aca="false">SUM(M199/E199)</f>
        <v>#VALUE!</v>
      </c>
    </row>
    <row r="200" customFormat="false" ht="12.75" hidden="false" customHeight="false" outlineLevel="0" collapsed="false">
      <c r="C200" s="80"/>
      <c r="D200" s="80"/>
      <c r="E200" s="45"/>
      <c r="F200" s="45"/>
      <c r="G200" s="81"/>
      <c r="H200" s="82"/>
      <c r="I200" s="55" t="s">
        <v>13</v>
      </c>
    </row>
    <row r="201" customFormat="false" ht="12.75" hidden="false" customHeight="false" outlineLevel="0" collapsed="false">
      <c r="A201" s="2"/>
      <c r="C201" s="79" t="s">
        <v>248</v>
      </c>
      <c r="D201" s="79"/>
      <c r="E201" s="83" t="n">
        <v>1</v>
      </c>
      <c r="F201" s="83"/>
      <c r="G201" s="84" t="n">
        <v>1</v>
      </c>
      <c r="H201" s="85"/>
      <c r="I201" s="55" t="s">
        <v>13</v>
      </c>
    </row>
    <row r="202" customFormat="false" ht="12.75" hidden="false" customHeight="false" outlineLevel="0" collapsed="false">
      <c r="C202" s="79"/>
      <c r="D202" s="79"/>
      <c r="E202" s="86"/>
      <c r="F202" s="86"/>
      <c r="G202" s="87"/>
      <c r="H202" s="88"/>
      <c r="I202" s="55" t="s">
        <v>13</v>
      </c>
    </row>
    <row r="203" customFormat="false" ht="12.75" hidden="false" customHeight="false" outlineLevel="0" collapsed="false">
      <c r="C203" s="79" t="s">
        <v>249</v>
      </c>
      <c r="D203" s="79"/>
      <c r="E203" s="86" t="s">
        <v>18</v>
      </c>
      <c r="F203" s="86"/>
      <c r="G203" s="87" t="s">
        <v>18</v>
      </c>
      <c r="H203" s="88"/>
      <c r="I203" s="55" t="s">
        <v>13</v>
      </c>
    </row>
    <row r="204" customFormat="false" ht="12.75" hidden="false" customHeight="false" outlineLevel="0" collapsed="false">
      <c r="C204" s="79" t="s">
        <v>250</v>
      </c>
      <c r="D204" s="79"/>
      <c r="E204" s="86" t="s">
        <v>18</v>
      </c>
      <c r="F204" s="86"/>
      <c r="G204" s="87" t="s">
        <v>202</v>
      </c>
      <c r="H204" s="88"/>
      <c r="I204" s="55" t="s">
        <v>13</v>
      </c>
    </row>
    <row r="205" customFormat="false" ht="12.75" hidden="false" customHeight="false" outlineLevel="0" collapsed="false">
      <c r="C205" s="79" t="s">
        <v>251</v>
      </c>
      <c r="D205" s="79"/>
      <c r="E205" s="86" t="s">
        <v>18</v>
      </c>
      <c r="F205" s="86"/>
      <c r="G205" s="87" t="s">
        <v>34</v>
      </c>
      <c r="H205" s="88"/>
      <c r="I205" s="55" t="s">
        <v>13</v>
      </c>
    </row>
    <row r="206" customFormat="false" ht="12.75" hidden="false" customHeight="true" outlineLevel="0" collapsed="false">
      <c r="C206" s="89" t="s">
        <v>252</v>
      </c>
      <c r="D206" s="89"/>
      <c r="E206" s="90" t="s">
        <v>18</v>
      </c>
      <c r="F206" s="90"/>
      <c r="G206" s="40" t="s">
        <v>34</v>
      </c>
      <c r="H206" s="91"/>
      <c r="I206" s="53" t="s">
        <v>13</v>
      </c>
    </row>
    <row r="207" customFormat="false" ht="12.75" hidden="false" customHeight="false" outlineLevel="0" collapsed="false">
      <c r="C207" s="38" t="s">
        <v>253</v>
      </c>
      <c r="D207" s="92"/>
      <c r="E207" s="90" t="s">
        <v>18</v>
      </c>
      <c r="F207" s="90"/>
      <c r="G207" s="40" t="s">
        <v>34</v>
      </c>
      <c r="H207" s="91"/>
      <c r="I207" s="53" t="s">
        <v>13</v>
      </c>
    </row>
    <row r="208" customFormat="false" ht="12.75" hidden="false" customHeight="false" outlineLevel="0" collapsed="false">
      <c r="C208" s="38" t="s">
        <v>254</v>
      </c>
      <c r="D208" s="92"/>
      <c r="E208" s="90" t="s">
        <v>18</v>
      </c>
      <c r="F208" s="90"/>
      <c r="G208" s="40" t="s">
        <v>34</v>
      </c>
      <c r="H208" s="91"/>
      <c r="I208" s="53" t="s">
        <v>13</v>
      </c>
    </row>
    <row r="209" customFormat="false" ht="12.75" hidden="false" customHeight="false" outlineLevel="0" collapsed="false">
      <c r="C209" s="79"/>
      <c r="D209" s="79"/>
      <c r="E209" s="90"/>
      <c r="F209" s="90"/>
      <c r="G209" s="40"/>
      <c r="H209" s="91"/>
      <c r="I209" s="53"/>
    </row>
    <row r="210" customFormat="false" ht="12.75" hidden="false" customHeight="false" outlineLevel="0" collapsed="false">
      <c r="C210" s="79"/>
      <c r="D210" s="79"/>
      <c r="E210" s="90"/>
      <c r="F210" s="90"/>
      <c r="G210" s="40"/>
      <c r="H210" s="91"/>
      <c r="I210" s="53"/>
    </row>
    <row r="211" customFormat="false" ht="12.75" hidden="false" customHeight="false" outlineLevel="0" collapsed="false">
      <c r="C211" s="79"/>
      <c r="D211" s="79"/>
      <c r="E211" s="90"/>
      <c r="F211" s="90"/>
      <c r="G211" s="40"/>
      <c r="H211" s="91"/>
      <c r="I211" s="53"/>
    </row>
    <row r="212" customFormat="false" ht="12.75" hidden="false" customHeight="false" outlineLevel="0" collapsed="false">
      <c r="C212" s="80" t="s">
        <v>255</v>
      </c>
      <c r="D212" s="93"/>
      <c r="E212" s="86" t="s">
        <v>256</v>
      </c>
      <c r="F212" s="86"/>
      <c r="G212" s="87" t="s">
        <v>256</v>
      </c>
      <c r="H212" s="88"/>
      <c r="I212" s="55" t="s">
        <v>13</v>
      </c>
    </row>
    <row r="213" customFormat="false" ht="12.75" hidden="false" customHeight="false" outlineLevel="0" collapsed="false">
      <c r="C213" s="80" t="s">
        <v>257</v>
      </c>
      <c r="D213" s="93"/>
      <c r="E213" s="86" t="s">
        <v>256</v>
      </c>
      <c r="F213" s="86"/>
      <c r="G213" s="87" t="s">
        <v>256</v>
      </c>
      <c r="H213" s="88"/>
      <c r="I213" s="55" t="s">
        <v>13</v>
      </c>
    </row>
    <row r="214" customFormat="false" ht="12.75" hidden="false" customHeight="false" outlineLevel="0" collapsed="false">
      <c r="C214" s="80" t="s">
        <v>258</v>
      </c>
      <c r="D214" s="93"/>
      <c r="E214" s="86" t="s">
        <v>256</v>
      </c>
      <c r="F214" s="86"/>
      <c r="G214" s="87" t="s">
        <v>256</v>
      </c>
      <c r="H214" s="88"/>
      <c r="I214" s="55" t="s">
        <v>13</v>
      </c>
    </row>
    <row r="215" customFormat="false" ht="12.75" hidden="false" customHeight="false" outlineLevel="0" collapsed="false">
      <c r="C215" s="80" t="s">
        <v>259</v>
      </c>
      <c r="D215" s="93"/>
      <c r="E215" s="86" t="s">
        <v>256</v>
      </c>
      <c r="F215" s="86"/>
      <c r="G215" s="87" t="s">
        <v>256</v>
      </c>
      <c r="H215" s="88"/>
      <c r="I215" s="55" t="s">
        <v>13</v>
      </c>
    </row>
    <row r="216" customFormat="false" ht="12.75" hidden="false" customHeight="false" outlineLevel="0" collapsed="false">
      <c r="C216" s="80" t="s">
        <v>260</v>
      </c>
      <c r="D216" s="93"/>
      <c r="E216" s="86" t="s">
        <v>256</v>
      </c>
      <c r="F216" s="86"/>
      <c r="G216" s="87" t="s">
        <v>256</v>
      </c>
      <c r="H216" s="88"/>
      <c r="I216" s="55" t="s">
        <v>13</v>
      </c>
    </row>
    <row r="217" customFormat="false" ht="12.75" hidden="false" customHeight="false" outlineLevel="0" collapsed="false">
      <c r="C217" s="80" t="s">
        <v>261</v>
      </c>
      <c r="D217" s="93"/>
      <c r="E217" s="86" t="s">
        <v>18</v>
      </c>
      <c r="F217" s="86"/>
      <c r="G217" s="87" t="s">
        <v>18</v>
      </c>
      <c r="H217" s="88"/>
      <c r="I217" s="55" t="s">
        <v>13</v>
      </c>
    </row>
    <row r="218" customFormat="false" ht="12.75" hidden="false" customHeight="false" outlineLevel="0" collapsed="false">
      <c r="C218" s="79" t="s">
        <v>262</v>
      </c>
      <c r="D218" s="79"/>
      <c r="E218" s="86" t="s">
        <v>18</v>
      </c>
      <c r="F218" s="86"/>
      <c r="G218" s="87" t="s">
        <v>18</v>
      </c>
      <c r="H218" s="88"/>
      <c r="I218" s="55" t="s">
        <v>13</v>
      </c>
    </row>
    <row r="219" customFormat="false" ht="12.75" hidden="false" customHeight="false" outlineLevel="0" collapsed="false">
      <c r="C219" s="80" t="s">
        <v>263</v>
      </c>
      <c r="D219" s="93"/>
      <c r="E219" s="86" t="s">
        <v>18</v>
      </c>
      <c r="F219" s="86"/>
      <c r="G219" s="87" t="s">
        <v>18</v>
      </c>
      <c r="H219" s="88"/>
      <c r="I219" s="55" t="s">
        <v>13</v>
      </c>
    </row>
    <row r="220" customFormat="false" ht="12.75" hidden="false" customHeight="false" outlineLevel="0" collapsed="false">
      <c r="C220" s="80" t="s">
        <v>264</v>
      </c>
      <c r="D220" s="93"/>
      <c r="E220" s="86" t="s">
        <v>18</v>
      </c>
      <c r="F220" s="86"/>
      <c r="G220" s="87" t="s">
        <v>18</v>
      </c>
      <c r="H220" s="88"/>
      <c r="I220" s="55" t="s">
        <v>13</v>
      </c>
    </row>
    <row r="221" customFormat="false" ht="12.75" hidden="false" customHeight="false" outlineLevel="0" collapsed="false">
      <c r="C221" s="79"/>
      <c r="D221" s="79"/>
      <c r="E221" s="86"/>
      <c r="F221" s="86"/>
      <c r="G221" s="87"/>
      <c r="H221" s="88"/>
      <c r="I221" s="55"/>
    </row>
    <row r="222" customFormat="false" ht="12.75" hidden="false" customHeight="false" outlineLevel="0" collapsed="false">
      <c r="C222" s="79" t="s">
        <v>265</v>
      </c>
      <c r="D222" s="79"/>
      <c r="E222" s="86" t="s">
        <v>18</v>
      </c>
      <c r="F222" s="86"/>
      <c r="G222" s="87" t="s">
        <v>18</v>
      </c>
      <c r="H222" s="88"/>
      <c r="I222" s="55" t="s">
        <v>13</v>
      </c>
    </row>
    <row r="223" customFormat="false" ht="12.75" hidden="false" customHeight="false" outlineLevel="0" collapsed="false">
      <c r="C223" s="58"/>
      <c r="D223" s="58"/>
      <c r="E223" s="94"/>
      <c r="F223" s="94"/>
      <c r="G223" s="95"/>
      <c r="H223" s="95"/>
      <c r="I223" s="96"/>
    </row>
  </sheetData>
  <mergeCells count="44">
    <mergeCell ref="C5:D6"/>
    <mergeCell ref="E5:G5"/>
    <mergeCell ref="I5:I6"/>
    <mergeCell ref="C24:D25"/>
    <mergeCell ref="E24:G24"/>
    <mergeCell ref="I24:I25"/>
    <mergeCell ref="C35:D36"/>
    <mergeCell ref="E35:G35"/>
    <mergeCell ref="I35:I36"/>
    <mergeCell ref="C47:D48"/>
    <mergeCell ref="E47:G47"/>
    <mergeCell ref="I47:I48"/>
    <mergeCell ref="C76:D77"/>
    <mergeCell ref="E76:G76"/>
    <mergeCell ref="I76:I77"/>
    <mergeCell ref="C98:D99"/>
    <mergeCell ref="E98:G98"/>
    <mergeCell ref="I98:I99"/>
    <mergeCell ref="C116:D117"/>
    <mergeCell ref="E116:G116"/>
    <mergeCell ref="I116:I117"/>
    <mergeCell ref="C168:D168"/>
    <mergeCell ref="C169:D169"/>
    <mergeCell ref="C174:D175"/>
    <mergeCell ref="E174:G174"/>
    <mergeCell ref="I174:I175"/>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9:D209"/>
    <mergeCell ref="C210:D210"/>
    <mergeCell ref="C211:D211"/>
    <mergeCell ref="C218:D218"/>
    <mergeCell ref="C221:D221"/>
    <mergeCell ref="C222:D222"/>
  </mergeCells>
  <printOptions headings="false" gridLines="false" gridLinesSet="true" horizontalCentered="true" verticalCentered="false"/>
  <pageMargins left="0" right="0" top="0" bottom="0" header="0" footer="0"/>
  <pageSetup paperSize="1" scale="100" fitToWidth="1" fitToHeight="1" pageOrder="downThenOver" orientation="portrait" blackAndWhite="false" draft="false" cellComments="none" horizontalDpi="300" verticalDpi="300" copies="1"/>
  <headerFooter differentFirst="false" differentOddEven="false">
    <oddHeader>&amp;R&amp;D</oddHead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A490"/>
  <sheetViews>
    <sheetView showFormulas="false" showGridLines="false" showRowColHeaders="true" showZeros="true" rightToLeft="false" tabSelected="false" showOutlineSymbols="true" defaultGridColor="true" view="normal" topLeftCell="A35" colorId="64" zoomScale="125" zoomScaleNormal="125" zoomScalePageLayoutView="100" workbookViewId="0">
      <selection pane="topLeft" activeCell="C89" activeCellId="0" sqref="C89"/>
    </sheetView>
  </sheetViews>
  <sheetFormatPr defaultColWidth="9.109375" defaultRowHeight="12.75" customHeight="true" zeroHeight="false" outlineLevelRow="0" outlineLevelCol="0"/>
  <cols>
    <col collapsed="false" customWidth="true" hidden="false" outlineLevel="0" max="1" min="1" style="1" width="1.88"/>
    <col collapsed="false" customWidth="true" hidden="false" outlineLevel="0" max="2" min="2" style="1" width="5"/>
    <col collapsed="false" customWidth="true" hidden="false" outlineLevel="0" max="3" min="3" style="1" width="15.88"/>
    <col collapsed="false" customWidth="true" hidden="false" outlineLevel="0" max="4" min="4" style="1" width="15.11"/>
    <col collapsed="false" customWidth="true" hidden="false" outlineLevel="0" max="5" min="5" style="97" width="10.44"/>
    <col collapsed="false" customWidth="true" hidden="false" outlineLevel="0" max="6" min="6" style="98" width="10.44"/>
    <col collapsed="false" customWidth="true" hidden="false" outlineLevel="0" max="7" min="7" style="99" width="8.34"/>
    <col collapsed="false" customWidth="true" hidden="false" outlineLevel="0" max="8" min="8" style="100" width="10.44"/>
    <col collapsed="false" customWidth="true" hidden="false" outlineLevel="0" max="9" min="9" style="101" width="10.44"/>
    <col collapsed="false" customWidth="true" hidden="false" outlineLevel="0" max="10" min="10" style="102" width="10.66"/>
    <col collapsed="false" customWidth="true" hidden="false" outlineLevel="0" max="11" min="11" style="98" width="13.11"/>
    <col collapsed="false" customWidth="true" hidden="false" outlineLevel="0" max="12" min="12" style="98" width="14.88"/>
    <col collapsed="false" customWidth="false" hidden="false" outlineLevel="0" max="26" min="13" style="1" width="9.11"/>
    <col collapsed="false" customWidth="false" hidden="false" outlineLevel="0" max="16384" min="27" style="103" width="9.11"/>
  </cols>
  <sheetData>
    <row r="1" s="1" customFormat="true" ht="22.05" hidden="false" customHeight="false" outlineLevel="0" collapsed="false">
      <c r="B1" s="4" t="str">
        <f aca="false">FOOD!C1</f>
        <v>SW Grill</v>
      </c>
      <c r="E1" s="2"/>
      <c r="F1" s="3"/>
      <c r="G1" s="104"/>
      <c r="H1" s="5"/>
      <c r="I1" s="105"/>
      <c r="J1" s="106"/>
      <c r="K1" s="3"/>
      <c r="L1" s="3"/>
      <c r="AA1" s="103"/>
    </row>
    <row r="2" s="1" customFormat="true" ht="12.75" hidden="false" customHeight="false" outlineLevel="0" collapsed="false">
      <c r="B2" s="1" t="s">
        <v>266</v>
      </c>
      <c r="E2" s="2"/>
      <c r="F2" s="3"/>
      <c r="G2" s="104"/>
      <c r="H2" s="5" t="s">
        <v>2</v>
      </c>
      <c r="I2" s="105"/>
      <c r="J2" s="106"/>
      <c r="K2" s="3"/>
      <c r="L2" s="3"/>
      <c r="AA2" s="103"/>
    </row>
    <row r="3" s="1" customFormat="true" ht="12.75" hidden="false" customHeight="false" outlineLevel="0" collapsed="false">
      <c r="D3" s="107"/>
      <c r="F3" s="3"/>
      <c r="G3" s="104"/>
      <c r="H3" s="5"/>
      <c r="I3" s="105"/>
      <c r="J3" s="106"/>
      <c r="K3" s="3"/>
      <c r="L3" s="3"/>
      <c r="AA3" s="103"/>
    </row>
    <row r="4" s="108" customFormat="true" ht="12.75" hidden="false" customHeight="false" outlineLevel="0" collapsed="false">
      <c r="B4" s="7"/>
      <c r="G4" s="109"/>
      <c r="I4" s="110"/>
    </row>
    <row r="5" s="1" customFormat="true" ht="12.75" hidden="false" customHeight="true" outlineLevel="0" collapsed="false">
      <c r="B5" s="111" t="s">
        <v>3</v>
      </c>
      <c r="C5" s="111"/>
      <c r="D5" s="111"/>
      <c r="E5" s="11" t="s">
        <v>267</v>
      </c>
      <c r="F5" s="11"/>
      <c r="G5" s="112" t="s">
        <v>268</v>
      </c>
      <c r="H5" s="113" t="s">
        <v>269</v>
      </c>
      <c r="I5" s="113"/>
      <c r="J5" s="13" t="s">
        <v>270</v>
      </c>
      <c r="K5" s="114" t="s">
        <v>271</v>
      </c>
      <c r="L5" s="13" t="s">
        <v>272</v>
      </c>
    </row>
    <row r="6" s="1" customFormat="true" ht="15" hidden="false" customHeight="true" outlineLevel="0" collapsed="false">
      <c r="B6" s="111"/>
      <c r="C6" s="111"/>
      <c r="D6" s="111"/>
      <c r="E6" s="14" t="s">
        <v>56</v>
      </c>
      <c r="F6" s="16" t="s">
        <v>273</v>
      </c>
      <c r="G6" s="112"/>
      <c r="H6" s="17" t="s">
        <v>56</v>
      </c>
      <c r="I6" s="115" t="s">
        <v>273</v>
      </c>
      <c r="J6" s="13"/>
      <c r="K6" s="114"/>
      <c r="L6" s="13"/>
    </row>
    <row r="7" s="1" customFormat="true" ht="23.25" hidden="false" customHeight="true" outlineLevel="0" collapsed="false">
      <c r="B7" s="18" t="s">
        <v>274</v>
      </c>
      <c r="C7" s="18"/>
      <c r="D7" s="19"/>
      <c r="E7" s="21"/>
      <c r="F7" s="22"/>
      <c r="G7" s="116"/>
      <c r="H7" s="23"/>
      <c r="I7" s="22"/>
      <c r="J7" s="116"/>
      <c r="K7" s="22"/>
      <c r="L7" s="117"/>
    </row>
    <row r="8" customFormat="false" ht="12.75" hidden="false" customHeight="false" outlineLevel="0" collapsed="false">
      <c r="B8" s="118" t="s">
        <v>275</v>
      </c>
      <c r="C8" s="118"/>
      <c r="D8" s="118"/>
      <c r="E8" s="119" t="s">
        <v>276</v>
      </c>
      <c r="F8" s="120" t="n">
        <v>22.69</v>
      </c>
      <c r="G8" s="121" t="n">
        <v>1</v>
      </c>
      <c r="H8" s="119" t="s">
        <v>277</v>
      </c>
      <c r="I8" s="122" t="n">
        <f aca="false">F8/G8</f>
        <v>22.69</v>
      </c>
      <c r="J8" s="123" t="n">
        <v>2.5</v>
      </c>
      <c r="K8" s="124" t="n">
        <f aca="false">J8*I8</f>
        <v>56.725</v>
      </c>
      <c r="L8" s="125"/>
    </row>
    <row r="9" customFormat="false" ht="12.75" hidden="false" customHeight="false" outlineLevel="0" collapsed="false">
      <c r="B9" s="126" t="s">
        <v>278</v>
      </c>
      <c r="C9" s="126"/>
      <c r="D9" s="126"/>
      <c r="E9" s="119" t="s">
        <v>276</v>
      </c>
      <c r="F9" s="120" t="n">
        <v>0</v>
      </c>
      <c r="G9" s="121" t="n">
        <v>1</v>
      </c>
      <c r="H9" s="127"/>
      <c r="I9" s="122" t="n">
        <f aca="false">F9/G9</f>
        <v>0</v>
      </c>
      <c r="J9" s="123"/>
      <c r="K9" s="124" t="n">
        <f aca="false">J9*I9</f>
        <v>0</v>
      </c>
      <c r="L9" s="125"/>
    </row>
    <row r="10" customFormat="false" ht="12.75" hidden="false" customHeight="false" outlineLevel="0" collapsed="false">
      <c r="B10" s="126" t="s">
        <v>279</v>
      </c>
      <c r="C10" s="126"/>
      <c r="D10" s="126"/>
      <c r="E10" s="119" t="s">
        <v>276</v>
      </c>
      <c r="F10" s="120" t="n">
        <v>0</v>
      </c>
      <c r="G10" s="121" t="n">
        <v>1</v>
      </c>
      <c r="H10" s="127"/>
      <c r="I10" s="122" t="n">
        <f aca="false">F10/G10</f>
        <v>0</v>
      </c>
      <c r="J10" s="123"/>
      <c r="K10" s="124" t="n">
        <f aca="false">J10*I10</f>
        <v>0</v>
      </c>
      <c r="L10" s="125"/>
      <c r="M10" s="128"/>
    </row>
    <row r="11" customFormat="false" ht="12.75" hidden="false" customHeight="false" outlineLevel="0" collapsed="false">
      <c r="B11" s="126" t="s">
        <v>280</v>
      </c>
      <c r="C11" s="126"/>
      <c r="D11" s="126"/>
      <c r="E11" s="119" t="s">
        <v>276</v>
      </c>
      <c r="F11" s="120" t="n">
        <v>0</v>
      </c>
      <c r="G11" s="121" t="n">
        <v>1</v>
      </c>
      <c r="H11" s="127"/>
      <c r="I11" s="122" t="n">
        <f aca="false">F11/G11</f>
        <v>0</v>
      </c>
      <c r="J11" s="123"/>
      <c r="K11" s="124" t="n">
        <f aca="false">J11*I11</f>
        <v>0</v>
      </c>
      <c r="L11" s="125"/>
      <c r="M11" s="128"/>
    </row>
    <row r="12" customFormat="false" ht="12.75" hidden="false" customHeight="false" outlineLevel="0" collapsed="false">
      <c r="B12" s="126" t="s">
        <v>281</v>
      </c>
      <c r="C12" s="126"/>
      <c r="D12" s="126"/>
      <c r="E12" s="119" t="s">
        <v>276</v>
      </c>
      <c r="F12" s="120" t="n">
        <v>0</v>
      </c>
      <c r="G12" s="121" t="n">
        <v>1</v>
      </c>
      <c r="H12" s="127"/>
      <c r="I12" s="122" t="n">
        <f aca="false">F12/G12</f>
        <v>0</v>
      </c>
      <c r="J12" s="123"/>
      <c r="K12" s="124" t="n">
        <f aca="false">J12*I12</f>
        <v>0</v>
      </c>
      <c r="L12" s="125"/>
      <c r="M12" s="128"/>
    </row>
    <row r="13" customFormat="false" ht="12.75" hidden="false" customHeight="false" outlineLevel="0" collapsed="false">
      <c r="B13" s="126" t="s">
        <v>282</v>
      </c>
      <c r="C13" s="126"/>
      <c r="D13" s="126"/>
      <c r="E13" s="119" t="s">
        <v>276</v>
      </c>
      <c r="F13" s="120" t="n">
        <v>0</v>
      </c>
      <c r="G13" s="121" t="n">
        <v>1</v>
      </c>
      <c r="H13" s="127"/>
      <c r="I13" s="122" t="n">
        <f aca="false">F13/G13</f>
        <v>0</v>
      </c>
      <c r="J13" s="123"/>
      <c r="K13" s="124" t="n">
        <f aca="false">J13*I13</f>
        <v>0</v>
      </c>
      <c r="L13" s="125"/>
      <c r="M13" s="128"/>
    </row>
    <row r="14" customFormat="false" ht="12.75" hidden="false" customHeight="false" outlineLevel="0" collapsed="false">
      <c r="B14" s="126" t="s">
        <v>283</v>
      </c>
      <c r="C14" s="126"/>
      <c r="D14" s="126"/>
      <c r="E14" s="119" t="s">
        <v>276</v>
      </c>
      <c r="F14" s="120" t="n">
        <v>0</v>
      </c>
      <c r="G14" s="121" t="n">
        <v>1</v>
      </c>
      <c r="H14" s="127"/>
      <c r="I14" s="122" t="n">
        <f aca="false">F14/G14</f>
        <v>0</v>
      </c>
      <c r="J14" s="123"/>
      <c r="K14" s="124" t="n">
        <f aca="false">J14*I14</f>
        <v>0</v>
      </c>
      <c r="L14" s="125"/>
      <c r="M14" s="128"/>
    </row>
    <row r="15" s="1" customFormat="true" ht="12.75" hidden="false" customHeight="false" outlineLevel="0" collapsed="false">
      <c r="B15" s="126" t="s">
        <v>284</v>
      </c>
      <c r="C15" s="126"/>
      <c r="D15" s="126"/>
      <c r="E15" s="119" t="s">
        <v>276</v>
      </c>
      <c r="F15" s="120" t="n">
        <v>0</v>
      </c>
      <c r="G15" s="121" t="n">
        <v>1</v>
      </c>
      <c r="H15" s="129"/>
      <c r="I15" s="122" t="n">
        <f aca="false">F15/G15</f>
        <v>0</v>
      </c>
      <c r="J15" s="123"/>
      <c r="K15" s="124" t="n">
        <f aca="false">J15*I15</f>
        <v>0</v>
      </c>
      <c r="L15" s="125"/>
    </row>
    <row r="16" customFormat="false" ht="12.75" hidden="false" customHeight="false" outlineLevel="0" collapsed="false">
      <c r="B16" s="126" t="s">
        <v>285</v>
      </c>
      <c r="C16" s="126"/>
      <c r="D16" s="126"/>
      <c r="E16" s="119" t="s">
        <v>276</v>
      </c>
      <c r="F16" s="120" t="n">
        <v>0</v>
      </c>
      <c r="G16" s="121" t="n">
        <v>1</v>
      </c>
      <c r="H16" s="127"/>
      <c r="I16" s="122" t="n">
        <f aca="false">F16/G16</f>
        <v>0</v>
      </c>
      <c r="J16" s="123"/>
      <c r="K16" s="124" t="n">
        <f aca="false">J16*I16</f>
        <v>0</v>
      </c>
      <c r="L16" s="125"/>
    </row>
    <row r="17" customFormat="false" ht="12.75" hidden="false" customHeight="false" outlineLevel="0" collapsed="false">
      <c r="B17" s="126" t="s">
        <v>286</v>
      </c>
      <c r="C17" s="126"/>
      <c r="D17" s="126"/>
      <c r="E17" s="119" t="s">
        <v>276</v>
      </c>
      <c r="F17" s="120" t="n">
        <v>0</v>
      </c>
      <c r="G17" s="121" t="n">
        <v>1</v>
      </c>
      <c r="H17" s="127"/>
      <c r="I17" s="122" t="n">
        <f aca="false">F17/G17</f>
        <v>0</v>
      </c>
      <c r="J17" s="123"/>
      <c r="K17" s="124" t="n">
        <f aca="false">J17*I17</f>
        <v>0</v>
      </c>
      <c r="L17" s="125"/>
    </row>
    <row r="18" customFormat="false" ht="12.75" hidden="false" customHeight="false" outlineLevel="0" collapsed="false">
      <c r="B18" s="126" t="s">
        <v>287</v>
      </c>
      <c r="C18" s="126"/>
      <c r="D18" s="126"/>
      <c r="E18" s="119" t="s">
        <v>276</v>
      </c>
      <c r="F18" s="120" t="n">
        <v>0</v>
      </c>
      <c r="G18" s="121" t="n">
        <v>1</v>
      </c>
      <c r="H18" s="127"/>
      <c r="I18" s="122" t="n">
        <f aca="false">F18/G18</f>
        <v>0</v>
      </c>
      <c r="J18" s="123"/>
      <c r="K18" s="124" t="n">
        <f aca="false">J18*I18</f>
        <v>0</v>
      </c>
      <c r="L18" s="125"/>
    </row>
    <row r="19" customFormat="false" ht="12.75" hidden="false" customHeight="false" outlineLevel="0" collapsed="false">
      <c r="B19" s="126" t="s">
        <v>288</v>
      </c>
      <c r="C19" s="126"/>
      <c r="D19" s="126"/>
      <c r="E19" s="119" t="s">
        <v>276</v>
      </c>
      <c r="F19" s="120" t="n">
        <v>0</v>
      </c>
      <c r="G19" s="121" t="n">
        <v>1</v>
      </c>
      <c r="H19" s="127"/>
      <c r="I19" s="122" t="n">
        <f aca="false">F19/G19</f>
        <v>0</v>
      </c>
      <c r="J19" s="123"/>
      <c r="K19" s="124" t="n">
        <f aca="false">J19*I19</f>
        <v>0</v>
      </c>
      <c r="L19" s="125"/>
    </row>
    <row r="20" customFormat="false" ht="12.75" hidden="false" customHeight="false" outlineLevel="0" collapsed="false">
      <c r="B20" s="126" t="s">
        <v>289</v>
      </c>
      <c r="C20" s="126"/>
      <c r="D20" s="126"/>
      <c r="E20" s="119" t="s">
        <v>276</v>
      </c>
      <c r="F20" s="120" t="n">
        <v>0</v>
      </c>
      <c r="G20" s="121" t="n">
        <v>1</v>
      </c>
      <c r="H20" s="119"/>
      <c r="I20" s="122" t="n">
        <f aca="false">F20/G20</f>
        <v>0</v>
      </c>
      <c r="J20" s="123"/>
      <c r="K20" s="124" t="n">
        <f aca="false">J20*I20</f>
        <v>0</v>
      </c>
      <c r="L20" s="125"/>
    </row>
    <row r="21" customFormat="false" ht="12.75" hidden="false" customHeight="false" outlineLevel="0" collapsed="false">
      <c r="B21" s="126" t="s">
        <v>290</v>
      </c>
      <c r="C21" s="126"/>
      <c r="D21" s="126"/>
      <c r="E21" s="119" t="s">
        <v>276</v>
      </c>
      <c r="F21" s="120" t="n">
        <v>0</v>
      </c>
      <c r="G21" s="121" t="n">
        <v>1</v>
      </c>
      <c r="H21" s="127"/>
      <c r="I21" s="122" t="n">
        <f aca="false">F21/G21</f>
        <v>0</v>
      </c>
      <c r="J21" s="123"/>
      <c r="K21" s="124" t="n">
        <f aca="false">J21*I21</f>
        <v>0</v>
      </c>
      <c r="L21" s="125"/>
    </row>
    <row r="22" customFormat="false" ht="12.75" hidden="false" customHeight="false" outlineLevel="0" collapsed="false">
      <c r="B22" s="126"/>
      <c r="C22" s="126"/>
      <c r="D22" s="126"/>
      <c r="E22" s="119"/>
      <c r="F22" s="120" t="n">
        <v>0</v>
      </c>
      <c r="G22" s="121" t="n">
        <v>1</v>
      </c>
      <c r="H22" s="127"/>
      <c r="I22" s="122" t="n">
        <f aca="false">F22/G22</f>
        <v>0</v>
      </c>
      <c r="J22" s="123"/>
      <c r="K22" s="124" t="n">
        <f aca="false">J22*I22</f>
        <v>0</v>
      </c>
      <c r="L22" s="125"/>
    </row>
    <row r="23" customFormat="false" ht="12.75" hidden="false" customHeight="false" outlineLevel="0" collapsed="false">
      <c r="B23" s="130"/>
      <c r="C23" s="130"/>
      <c r="D23" s="130"/>
      <c r="E23" s="119"/>
      <c r="F23" s="120" t="n">
        <v>0</v>
      </c>
      <c r="G23" s="121" t="n">
        <v>1</v>
      </c>
      <c r="H23" s="127"/>
      <c r="I23" s="122" t="n">
        <f aca="false">F23/G23</f>
        <v>0</v>
      </c>
      <c r="J23" s="123"/>
      <c r="K23" s="124" t="n">
        <f aca="false">J23*I23</f>
        <v>0</v>
      </c>
      <c r="L23" s="125"/>
    </row>
    <row r="24" customFormat="false" ht="12.75" hidden="false" customHeight="false" outlineLevel="0" collapsed="false">
      <c r="B24" s="130"/>
      <c r="C24" s="130"/>
      <c r="D24" s="130"/>
      <c r="E24" s="119"/>
      <c r="F24" s="120" t="n">
        <v>0</v>
      </c>
      <c r="G24" s="121" t="n">
        <v>1</v>
      </c>
      <c r="H24" s="127"/>
      <c r="I24" s="122" t="n">
        <f aca="false">F24/G24</f>
        <v>0</v>
      </c>
      <c r="J24" s="123"/>
      <c r="K24" s="124" t="n">
        <f aca="false">J24*I24</f>
        <v>0</v>
      </c>
      <c r="L24" s="125"/>
    </row>
    <row r="25" customFormat="false" ht="12.75" hidden="false" customHeight="false" outlineLevel="0" collapsed="false">
      <c r="B25" s="130"/>
      <c r="C25" s="130"/>
      <c r="D25" s="130"/>
      <c r="E25" s="119"/>
      <c r="F25" s="120" t="n">
        <v>0</v>
      </c>
      <c r="G25" s="121" t="n">
        <v>1</v>
      </c>
      <c r="H25" s="127"/>
      <c r="I25" s="122" t="n">
        <f aca="false">F25/G25</f>
        <v>0</v>
      </c>
      <c r="J25" s="123"/>
      <c r="K25" s="124" t="n">
        <f aca="false">J25*I25</f>
        <v>0</v>
      </c>
      <c r="L25" s="125"/>
    </row>
    <row r="26" customFormat="false" ht="12.75" hidden="false" customHeight="false" outlineLevel="0" collapsed="false">
      <c r="B26" s="131"/>
      <c r="C26" s="131"/>
      <c r="D26" s="131"/>
      <c r="E26" s="119"/>
      <c r="F26" s="120" t="n">
        <v>0</v>
      </c>
      <c r="G26" s="121" t="n">
        <v>1</v>
      </c>
      <c r="H26" s="127"/>
      <c r="I26" s="122" t="n">
        <f aca="false">F26/G26</f>
        <v>0</v>
      </c>
      <c r="J26" s="123"/>
      <c r="K26" s="124" t="n">
        <f aca="false">J26*I26</f>
        <v>0</v>
      </c>
      <c r="L26" s="132" t="n">
        <f aca="false">SUM(K5:K26)</f>
        <v>56.725</v>
      </c>
    </row>
    <row r="27" customFormat="false" ht="15" hidden="false" customHeight="true" outlineLevel="0" collapsed="false">
      <c r="B27" s="41" t="s">
        <v>291</v>
      </c>
      <c r="C27" s="41"/>
      <c r="D27" s="41"/>
      <c r="E27" s="11" t="s">
        <v>267</v>
      </c>
      <c r="F27" s="11"/>
      <c r="G27" s="112" t="s">
        <v>268</v>
      </c>
      <c r="H27" s="113" t="s">
        <v>269</v>
      </c>
      <c r="I27" s="113"/>
      <c r="J27" s="133" t="s">
        <v>270</v>
      </c>
      <c r="K27" s="134" t="s">
        <v>271</v>
      </c>
      <c r="L27" s="135" t="s">
        <v>272</v>
      </c>
    </row>
    <row r="28" customFormat="false" ht="15" hidden="false" customHeight="true" outlineLevel="0" collapsed="false">
      <c r="B28" s="41"/>
      <c r="C28" s="41"/>
      <c r="D28" s="41"/>
      <c r="E28" s="136" t="s">
        <v>56</v>
      </c>
      <c r="F28" s="137" t="s">
        <v>273</v>
      </c>
      <c r="G28" s="112"/>
      <c r="H28" s="138" t="s">
        <v>56</v>
      </c>
      <c r="I28" s="139" t="s">
        <v>273</v>
      </c>
      <c r="J28" s="133"/>
      <c r="K28" s="134"/>
      <c r="L28" s="135"/>
    </row>
    <row r="29" customFormat="false" ht="12.75" hidden="false" customHeight="false" outlineLevel="0" collapsed="false">
      <c r="B29" s="140" t="s">
        <v>292</v>
      </c>
      <c r="C29" s="140"/>
      <c r="D29" s="140"/>
      <c r="E29" s="119" t="s">
        <v>276</v>
      </c>
      <c r="F29" s="120" t="n">
        <v>8.99</v>
      </c>
      <c r="G29" s="141" t="n">
        <v>12</v>
      </c>
      <c r="H29" s="127" t="s">
        <v>277</v>
      </c>
      <c r="I29" s="122" t="n">
        <f aca="false">F29/G29</f>
        <v>0.749166666666667</v>
      </c>
      <c r="J29" s="123" t="n">
        <v>22</v>
      </c>
      <c r="K29" s="124" t="n">
        <f aca="false">J29*I29</f>
        <v>16.4816666666667</v>
      </c>
      <c r="L29" s="125"/>
    </row>
    <row r="30" customFormat="false" ht="12.75" hidden="false" customHeight="false" outlineLevel="0" collapsed="false">
      <c r="B30" s="130" t="s">
        <v>293</v>
      </c>
      <c r="C30" s="130"/>
      <c r="D30" s="130"/>
      <c r="E30" s="119" t="s">
        <v>276</v>
      </c>
      <c r="F30" s="120" t="n">
        <v>24.99</v>
      </c>
      <c r="G30" s="141" t="n">
        <v>24</v>
      </c>
      <c r="H30" s="127" t="s">
        <v>277</v>
      </c>
      <c r="I30" s="122" t="n">
        <f aca="false">F30/G30</f>
        <v>1.04125</v>
      </c>
      <c r="J30" s="123" t="n">
        <v>33</v>
      </c>
      <c r="K30" s="124" t="n">
        <f aca="false">J30*I30</f>
        <v>34.36125</v>
      </c>
      <c r="L30" s="125"/>
    </row>
    <row r="31" customFormat="false" ht="12.75" hidden="false" customHeight="false" outlineLevel="0" collapsed="false">
      <c r="B31" s="130" t="s">
        <v>294</v>
      </c>
      <c r="C31" s="130"/>
      <c r="D31" s="130"/>
      <c r="E31" s="119" t="s">
        <v>276</v>
      </c>
      <c r="F31" s="120" t="n">
        <v>0</v>
      </c>
      <c r="G31" s="141" t="n">
        <v>1</v>
      </c>
      <c r="H31" s="127"/>
      <c r="I31" s="122" t="n">
        <f aca="false">F31/G31</f>
        <v>0</v>
      </c>
      <c r="J31" s="123"/>
      <c r="K31" s="124" t="n">
        <f aca="false">J31*I31</f>
        <v>0</v>
      </c>
      <c r="L31" s="125"/>
    </row>
    <row r="32" customFormat="false" ht="12.75" hidden="false" customHeight="false" outlineLevel="0" collapsed="false">
      <c r="B32" s="126" t="s">
        <v>295</v>
      </c>
      <c r="C32" s="126"/>
      <c r="D32" s="126"/>
      <c r="E32" s="119" t="s">
        <v>276</v>
      </c>
      <c r="F32" s="120" t="n">
        <v>0</v>
      </c>
      <c r="G32" s="141" t="n">
        <v>1</v>
      </c>
      <c r="H32" s="127"/>
      <c r="I32" s="122" t="n">
        <f aca="false">F32/G32</f>
        <v>0</v>
      </c>
      <c r="J32" s="123"/>
      <c r="K32" s="124" t="n">
        <f aca="false">J32*I32</f>
        <v>0</v>
      </c>
      <c r="L32" s="125"/>
    </row>
    <row r="33" customFormat="false" ht="12.75" hidden="false" customHeight="false" outlineLevel="0" collapsed="false">
      <c r="B33" s="126" t="s">
        <v>296</v>
      </c>
      <c r="C33" s="126"/>
      <c r="D33" s="126"/>
      <c r="E33" s="119" t="s">
        <v>276</v>
      </c>
      <c r="F33" s="120" t="n">
        <v>0</v>
      </c>
      <c r="G33" s="141" t="n">
        <v>1</v>
      </c>
      <c r="H33" s="127"/>
      <c r="I33" s="122" t="n">
        <f aca="false">F33/G33</f>
        <v>0</v>
      </c>
      <c r="J33" s="123"/>
      <c r="K33" s="124" t="n">
        <f aca="false">J33*I33</f>
        <v>0</v>
      </c>
      <c r="L33" s="125"/>
    </row>
    <row r="34" customFormat="false" ht="12.75" hidden="false" customHeight="false" outlineLevel="0" collapsed="false">
      <c r="B34" s="126" t="s">
        <v>297</v>
      </c>
      <c r="C34" s="126"/>
      <c r="D34" s="126"/>
      <c r="E34" s="119" t="s">
        <v>276</v>
      </c>
      <c r="F34" s="120" t="n">
        <v>0</v>
      </c>
      <c r="G34" s="141" t="n">
        <v>1</v>
      </c>
      <c r="H34" s="127"/>
      <c r="I34" s="122" t="n">
        <f aca="false">F34/G34</f>
        <v>0</v>
      </c>
      <c r="J34" s="123"/>
      <c r="K34" s="124" t="n">
        <f aca="false">J34*I34</f>
        <v>0</v>
      </c>
      <c r="L34" s="125"/>
    </row>
    <row r="35" customFormat="false" ht="12.75" hidden="false" customHeight="false" outlineLevel="0" collapsed="false">
      <c r="B35" s="126" t="s">
        <v>298</v>
      </c>
      <c r="C35" s="126"/>
      <c r="D35" s="126"/>
      <c r="E35" s="119" t="s">
        <v>276</v>
      </c>
      <c r="F35" s="120" t="n">
        <v>0</v>
      </c>
      <c r="G35" s="141" t="n">
        <v>1</v>
      </c>
      <c r="H35" s="127"/>
      <c r="I35" s="122" t="n">
        <f aca="false">F35/G35</f>
        <v>0</v>
      </c>
      <c r="J35" s="123"/>
      <c r="K35" s="124" t="n">
        <f aca="false">J35*I35</f>
        <v>0</v>
      </c>
      <c r="L35" s="125"/>
    </row>
    <row r="36" customFormat="false" ht="12.75" hidden="false" customHeight="false" outlineLevel="0" collapsed="false">
      <c r="B36" s="126" t="s">
        <v>299</v>
      </c>
      <c r="C36" s="126"/>
      <c r="D36" s="126"/>
      <c r="E36" s="119" t="s">
        <v>276</v>
      </c>
      <c r="F36" s="120" t="n">
        <v>0</v>
      </c>
      <c r="G36" s="141" t="n">
        <v>1</v>
      </c>
      <c r="H36" s="127"/>
      <c r="I36" s="122" t="n">
        <f aca="false">F36/G36</f>
        <v>0</v>
      </c>
      <c r="J36" s="123"/>
      <c r="K36" s="124" t="n">
        <f aca="false">J36*I36</f>
        <v>0</v>
      </c>
      <c r="L36" s="125"/>
    </row>
    <row r="37" customFormat="false" ht="12.75" hidden="false" customHeight="false" outlineLevel="0" collapsed="false">
      <c r="B37" s="126" t="s">
        <v>300</v>
      </c>
      <c r="C37" s="126"/>
      <c r="D37" s="126"/>
      <c r="E37" s="119" t="s">
        <v>276</v>
      </c>
      <c r="F37" s="120" t="n">
        <v>0</v>
      </c>
      <c r="G37" s="141" t="n">
        <v>1</v>
      </c>
      <c r="H37" s="127"/>
      <c r="I37" s="122" t="n">
        <f aca="false">F37/G37</f>
        <v>0</v>
      </c>
      <c r="J37" s="123"/>
      <c r="K37" s="124" t="n">
        <f aca="false">J37*I37</f>
        <v>0</v>
      </c>
      <c r="L37" s="125"/>
    </row>
    <row r="38" customFormat="false" ht="12.75" hidden="false" customHeight="false" outlineLevel="0" collapsed="false">
      <c r="B38" s="126" t="s">
        <v>301</v>
      </c>
      <c r="C38" s="126"/>
      <c r="D38" s="126"/>
      <c r="E38" s="119" t="s">
        <v>276</v>
      </c>
      <c r="F38" s="120" t="n">
        <v>0</v>
      </c>
      <c r="G38" s="141" t="n">
        <v>1</v>
      </c>
      <c r="H38" s="127"/>
      <c r="I38" s="122" t="n">
        <f aca="false">F38/G38</f>
        <v>0</v>
      </c>
      <c r="J38" s="123"/>
      <c r="K38" s="124" t="n">
        <f aca="false">J38*I38</f>
        <v>0</v>
      </c>
      <c r="L38" s="125"/>
    </row>
    <row r="39" customFormat="false" ht="12.75" hidden="false" customHeight="false" outlineLevel="0" collapsed="false">
      <c r="B39" s="126" t="s">
        <v>302</v>
      </c>
      <c r="C39" s="126"/>
      <c r="D39" s="126"/>
      <c r="E39" s="119" t="s">
        <v>276</v>
      </c>
      <c r="F39" s="120" t="n">
        <v>0</v>
      </c>
      <c r="G39" s="141" t="n">
        <v>1</v>
      </c>
      <c r="H39" s="127"/>
      <c r="I39" s="122" t="n">
        <f aca="false">F39/G39</f>
        <v>0</v>
      </c>
      <c r="J39" s="123"/>
      <c r="K39" s="124" t="n">
        <f aca="false">J39*I39</f>
        <v>0</v>
      </c>
      <c r="L39" s="125"/>
    </row>
    <row r="40" customFormat="false" ht="12.75" hidden="false" customHeight="false" outlineLevel="0" collapsed="false">
      <c r="B40" s="130"/>
      <c r="C40" s="130"/>
      <c r="D40" s="130"/>
      <c r="E40" s="119"/>
      <c r="F40" s="120" t="n">
        <v>0</v>
      </c>
      <c r="G40" s="141" t="n">
        <v>1</v>
      </c>
      <c r="H40" s="127"/>
      <c r="I40" s="122" t="n">
        <f aca="false">F40/G40</f>
        <v>0</v>
      </c>
      <c r="J40" s="123"/>
      <c r="K40" s="124" t="n">
        <f aca="false">J40*I40</f>
        <v>0</v>
      </c>
      <c r="L40" s="125"/>
    </row>
    <row r="41" customFormat="false" ht="12.75" hidden="false" customHeight="false" outlineLevel="0" collapsed="false">
      <c r="B41" s="130"/>
      <c r="C41" s="130"/>
      <c r="D41" s="130"/>
      <c r="E41" s="119"/>
      <c r="F41" s="120" t="n">
        <v>0</v>
      </c>
      <c r="G41" s="141" t="n">
        <v>1</v>
      </c>
      <c r="H41" s="127"/>
      <c r="I41" s="122" t="n">
        <f aca="false">F41/G41</f>
        <v>0</v>
      </c>
      <c r="J41" s="123"/>
      <c r="K41" s="124" t="n">
        <f aca="false">J41*I41</f>
        <v>0</v>
      </c>
      <c r="L41" s="125"/>
    </row>
    <row r="42" customFormat="false" ht="12.75" hidden="false" customHeight="false" outlineLevel="0" collapsed="false">
      <c r="B42" s="142"/>
      <c r="C42" s="142"/>
      <c r="D42" s="142"/>
      <c r="E42" s="119"/>
      <c r="F42" s="120" t="n">
        <v>0</v>
      </c>
      <c r="G42" s="141" t="n">
        <v>1</v>
      </c>
      <c r="H42" s="127"/>
      <c r="I42" s="122" t="n">
        <f aca="false">F42/G42</f>
        <v>0</v>
      </c>
      <c r="J42" s="123"/>
      <c r="K42" s="143" t="n">
        <f aca="false">J42*I42</f>
        <v>0</v>
      </c>
      <c r="L42" s="132" t="n">
        <f aca="false">SUM(K29:K42)</f>
        <v>50.8429166666667</v>
      </c>
    </row>
    <row r="43" customFormat="false" ht="15" hidden="false" customHeight="true" outlineLevel="0" collapsed="false">
      <c r="B43" s="41" t="s">
        <v>303</v>
      </c>
      <c r="C43" s="41"/>
      <c r="D43" s="41"/>
      <c r="E43" s="11" t="s">
        <v>267</v>
      </c>
      <c r="F43" s="11"/>
      <c r="G43" s="112" t="s">
        <v>268</v>
      </c>
      <c r="H43" s="113" t="s">
        <v>269</v>
      </c>
      <c r="I43" s="113"/>
      <c r="J43" s="133" t="s">
        <v>270</v>
      </c>
      <c r="K43" s="134" t="s">
        <v>271</v>
      </c>
      <c r="L43" s="135" t="s">
        <v>272</v>
      </c>
    </row>
    <row r="44" customFormat="false" ht="15" hidden="false" customHeight="true" outlineLevel="0" collapsed="false">
      <c r="B44" s="41"/>
      <c r="C44" s="41"/>
      <c r="D44" s="41"/>
      <c r="E44" s="136" t="s">
        <v>56</v>
      </c>
      <c r="F44" s="137" t="s">
        <v>273</v>
      </c>
      <c r="G44" s="112"/>
      <c r="H44" s="138" t="s">
        <v>56</v>
      </c>
      <c r="I44" s="139" t="s">
        <v>273</v>
      </c>
      <c r="J44" s="133"/>
      <c r="K44" s="134"/>
      <c r="L44" s="135"/>
    </row>
    <row r="45" customFormat="false" ht="12.75" hidden="false" customHeight="false" outlineLevel="0" collapsed="false">
      <c r="B45" s="140" t="s">
        <v>294</v>
      </c>
      <c r="C45" s="140"/>
      <c r="D45" s="140"/>
      <c r="E45" s="119" t="s">
        <v>304</v>
      </c>
      <c r="F45" s="120" t="n">
        <v>75</v>
      </c>
      <c r="G45" s="141" t="n">
        <v>1</v>
      </c>
      <c r="H45" s="127" t="s">
        <v>305</v>
      </c>
      <c r="I45" s="122" t="n">
        <f aca="false">F45/G45</f>
        <v>75</v>
      </c>
      <c r="J45" s="123" t="n">
        <v>3</v>
      </c>
      <c r="K45" s="124" t="n">
        <f aca="false">J45*I45</f>
        <v>225</v>
      </c>
      <c r="L45" s="125"/>
    </row>
    <row r="46" customFormat="false" ht="12.75" hidden="false" customHeight="false" outlineLevel="0" collapsed="false">
      <c r="B46" s="130" t="s">
        <v>306</v>
      </c>
      <c r="C46" s="130"/>
      <c r="D46" s="130"/>
      <c r="E46" s="119" t="s">
        <v>304</v>
      </c>
      <c r="F46" s="120" t="n">
        <v>75</v>
      </c>
      <c r="G46" s="141" t="n">
        <v>1</v>
      </c>
      <c r="H46" s="127" t="s">
        <v>305</v>
      </c>
      <c r="I46" s="122" t="n">
        <f aca="false">F46/G46</f>
        <v>75</v>
      </c>
      <c r="J46" s="123" t="n">
        <v>3</v>
      </c>
      <c r="K46" s="124" t="n">
        <f aca="false">J46*I46</f>
        <v>225</v>
      </c>
      <c r="L46" s="125"/>
    </row>
    <row r="47" customFormat="false" ht="12.75" hidden="false" customHeight="false" outlineLevel="0" collapsed="false">
      <c r="B47" s="142"/>
      <c r="C47" s="142"/>
      <c r="D47" s="142"/>
      <c r="E47" s="119"/>
      <c r="F47" s="120" t="n">
        <v>0</v>
      </c>
      <c r="G47" s="141" t="n">
        <v>1</v>
      </c>
      <c r="H47" s="127"/>
      <c r="I47" s="122" t="n">
        <f aca="false">F47/G47</f>
        <v>0</v>
      </c>
      <c r="J47" s="123"/>
      <c r="K47" s="124" t="n">
        <f aca="false">J47*I47</f>
        <v>0</v>
      </c>
      <c r="L47" s="125"/>
    </row>
    <row r="48" customFormat="false" ht="12.75" hidden="false" customHeight="false" outlineLevel="0" collapsed="false">
      <c r="B48" s="142"/>
      <c r="C48" s="142"/>
      <c r="D48" s="142"/>
      <c r="E48" s="119"/>
      <c r="F48" s="120" t="n">
        <v>0</v>
      </c>
      <c r="G48" s="141" t="n">
        <v>1</v>
      </c>
      <c r="H48" s="127"/>
      <c r="I48" s="122" t="n">
        <f aca="false">F48/G48</f>
        <v>0</v>
      </c>
      <c r="J48" s="123"/>
      <c r="K48" s="143" t="n">
        <f aca="false">J48*I48</f>
        <v>0</v>
      </c>
      <c r="L48" s="132" t="n">
        <f aca="false">SUM(K45:K48)</f>
        <v>450</v>
      </c>
    </row>
    <row r="49" customFormat="false" ht="14.25" hidden="false" customHeight="true" outlineLevel="0" collapsed="false">
      <c r="B49" s="41" t="s">
        <v>307</v>
      </c>
      <c r="C49" s="41"/>
      <c r="D49" s="41"/>
      <c r="E49" s="11" t="s">
        <v>267</v>
      </c>
      <c r="F49" s="11"/>
      <c r="G49" s="112" t="s">
        <v>268</v>
      </c>
      <c r="H49" s="113" t="s">
        <v>269</v>
      </c>
      <c r="I49" s="113"/>
      <c r="J49" s="133" t="s">
        <v>270</v>
      </c>
      <c r="K49" s="134" t="s">
        <v>271</v>
      </c>
      <c r="L49" s="135" t="s">
        <v>272</v>
      </c>
    </row>
    <row r="50" customFormat="false" ht="15" hidden="false" customHeight="true" outlineLevel="0" collapsed="false">
      <c r="B50" s="41"/>
      <c r="C50" s="41"/>
      <c r="D50" s="41"/>
      <c r="E50" s="136" t="s">
        <v>56</v>
      </c>
      <c r="F50" s="137" t="s">
        <v>273</v>
      </c>
      <c r="G50" s="112"/>
      <c r="H50" s="138" t="s">
        <v>56</v>
      </c>
      <c r="I50" s="139" t="s">
        <v>273</v>
      </c>
      <c r="J50" s="133"/>
      <c r="K50" s="134"/>
      <c r="L50" s="135"/>
    </row>
    <row r="51" customFormat="false" ht="12.75" hidden="false" customHeight="false" outlineLevel="0" collapsed="false">
      <c r="B51" s="140" t="s">
        <v>308</v>
      </c>
      <c r="C51" s="140"/>
      <c r="D51" s="140"/>
      <c r="E51" s="119" t="s">
        <v>276</v>
      </c>
      <c r="F51" s="120" t="n">
        <v>48</v>
      </c>
      <c r="G51" s="141" t="n">
        <v>12</v>
      </c>
      <c r="H51" s="127" t="s">
        <v>277</v>
      </c>
      <c r="I51" s="122" t="n">
        <f aca="false">F51/G51</f>
        <v>4</v>
      </c>
      <c r="J51" s="123" t="n">
        <v>1</v>
      </c>
      <c r="K51" s="124" t="n">
        <f aca="false">J51*I51</f>
        <v>4</v>
      </c>
      <c r="L51" s="125"/>
    </row>
    <row r="52" customFormat="false" ht="12.75" hidden="false" customHeight="false" outlineLevel="0" collapsed="false">
      <c r="B52" s="130" t="s">
        <v>309</v>
      </c>
      <c r="C52" s="130"/>
      <c r="D52" s="130"/>
      <c r="E52" s="119" t="s">
        <v>276</v>
      </c>
      <c r="F52" s="120" t="n">
        <v>0</v>
      </c>
      <c r="G52" s="141" t="n">
        <v>1</v>
      </c>
      <c r="H52" s="127"/>
      <c r="I52" s="122" t="n">
        <f aca="false">F52/G52</f>
        <v>0</v>
      </c>
      <c r="J52" s="123"/>
      <c r="K52" s="124" t="n">
        <f aca="false">J52*I52</f>
        <v>0</v>
      </c>
      <c r="L52" s="125"/>
    </row>
    <row r="53" customFormat="false" ht="12.75" hidden="false" customHeight="false" outlineLevel="0" collapsed="false">
      <c r="B53" s="130" t="s">
        <v>310</v>
      </c>
      <c r="C53" s="130"/>
      <c r="D53" s="130"/>
      <c r="E53" s="119" t="s">
        <v>276</v>
      </c>
      <c r="F53" s="120" t="n">
        <v>0</v>
      </c>
      <c r="G53" s="141" t="n">
        <v>1</v>
      </c>
      <c r="H53" s="127"/>
      <c r="I53" s="122" t="n">
        <f aca="false">F53/G53</f>
        <v>0</v>
      </c>
      <c r="J53" s="123"/>
      <c r="K53" s="124" t="n">
        <f aca="false">J53*I53</f>
        <v>0</v>
      </c>
      <c r="L53" s="125"/>
    </row>
    <row r="54" customFormat="false" ht="12.75" hidden="false" customHeight="false" outlineLevel="0" collapsed="false">
      <c r="B54" s="130" t="s">
        <v>311</v>
      </c>
      <c r="C54" s="130"/>
      <c r="D54" s="130"/>
      <c r="E54" s="119" t="s">
        <v>276</v>
      </c>
      <c r="F54" s="120" t="n">
        <v>0</v>
      </c>
      <c r="G54" s="141" t="n">
        <v>1</v>
      </c>
      <c r="H54" s="127"/>
      <c r="I54" s="122" t="n">
        <f aca="false">F54/G54</f>
        <v>0</v>
      </c>
      <c r="J54" s="123"/>
      <c r="K54" s="124" t="n">
        <f aca="false">J54*I54</f>
        <v>0</v>
      </c>
      <c r="L54" s="125"/>
    </row>
    <row r="55" customFormat="false" ht="12.75" hidden="false" customHeight="false" outlineLevel="0" collapsed="false">
      <c r="B55" s="130"/>
      <c r="C55" s="130"/>
      <c r="D55" s="130"/>
      <c r="E55" s="119"/>
      <c r="F55" s="120" t="n">
        <v>0</v>
      </c>
      <c r="G55" s="141" t="n">
        <v>1</v>
      </c>
      <c r="H55" s="127"/>
      <c r="I55" s="122" t="n">
        <f aca="false">F55/G55</f>
        <v>0</v>
      </c>
      <c r="J55" s="123"/>
      <c r="K55" s="124" t="n">
        <f aca="false">J55*I55</f>
        <v>0</v>
      </c>
      <c r="L55" s="125"/>
    </row>
    <row r="56" customFormat="false" ht="12.75" hidden="false" customHeight="false" outlineLevel="0" collapsed="false">
      <c r="B56" s="130"/>
      <c r="C56" s="130"/>
      <c r="D56" s="130"/>
      <c r="E56" s="119"/>
      <c r="F56" s="120" t="n">
        <v>0</v>
      </c>
      <c r="G56" s="141" t="n">
        <v>1</v>
      </c>
      <c r="H56" s="127"/>
      <c r="I56" s="122" t="n">
        <f aca="false">F56/G56</f>
        <v>0</v>
      </c>
      <c r="J56" s="123"/>
      <c r="K56" s="124" t="n">
        <f aca="false">J56*I56</f>
        <v>0</v>
      </c>
      <c r="L56" s="132" t="n">
        <f aca="false">SUM(K51:K56)</f>
        <v>4</v>
      </c>
    </row>
    <row r="57" customFormat="false" ht="14.25" hidden="false" customHeight="true" outlineLevel="0" collapsed="false">
      <c r="B57" s="41" t="s">
        <v>312</v>
      </c>
      <c r="C57" s="41"/>
      <c r="D57" s="41"/>
      <c r="E57" s="11" t="s">
        <v>267</v>
      </c>
      <c r="F57" s="11"/>
      <c r="G57" s="112" t="s">
        <v>268</v>
      </c>
      <c r="H57" s="113" t="s">
        <v>269</v>
      </c>
      <c r="I57" s="113"/>
      <c r="J57" s="133" t="s">
        <v>270</v>
      </c>
      <c r="K57" s="134" t="s">
        <v>271</v>
      </c>
      <c r="L57" s="135" t="s">
        <v>272</v>
      </c>
    </row>
    <row r="58" customFormat="false" ht="15" hidden="false" customHeight="true" outlineLevel="0" collapsed="false">
      <c r="B58" s="41"/>
      <c r="C58" s="41"/>
      <c r="D58" s="41"/>
      <c r="E58" s="136" t="s">
        <v>56</v>
      </c>
      <c r="F58" s="137" t="s">
        <v>273</v>
      </c>
      <c r="G58" s="112"/>
      <c r="H58" s="138" t="s">
        <v>56</v>
      </c>
      <c r="I58" s="139" t="s">
        <v>273</v>
      </c>
      <c r="J58" s="133"/>
      <c r="K58" s="134"/>
      <c r="L58" s="135"/>
    </row>
    <row r="59" customFormat="false" ht="12.75" hidden="false" customHeight="false" outlineLevel="0" collapsed="false">
      <c r="B59" s="118" t="s">
        <v>250</v>
      </c>
      <c r="C59" s="118"/>
      <c r="D59" s="118"/>
      <c r="E59" s="119" t="s">
        <v>276</v>
      </c>
      <c r="F59" s="120" t="n">
        <v>18</v>
      </c>
      <c r="G59" s="141" t="n">
        <v>12</v>
      </c>
      <c r="H59" s="127" t="s">
        <v>277</v>
      </c>
      <c r="I59" s="122" t="n">
        <f aca="false">F59/G59</f>
        <v>1.5</v>
      </c>
      <c r="J59" s="123" t="n">
        <v>1</v>
      </c>
      <c r="K59" s="124" t="n">
        <f aca="false">J59*I59</f>
        <v>1.5</v>
      </c>
      <c r="L59" s="125"/>
    </row>
    <row r="60" customFormat="false" ht="12.75" hidden="false" customHeight="false" outlineLevel="0" collapsed="false">
      <c r="B60" s="126" t="s">
        <v>313</v>
      </c>
      <c r="C60" s="126"/>
      <c r="D60" s="126"/>
      <c r="E60" s="119"/>
      <c r="F60" s="120"/>
      <c r="G60" s="141"/>
      <c r="H60" s="127"/>
      <c r="I60" s="122"/>
      <c r="J60" s="123"/>
      <c r="K60" s="124"/>
      <c r="L60" s="125"/>
    </row>
    <row r="61" customFormat="false" ht="12.75" hidden="false" customHeight="false" outlineLevel="0" collapsed="false">
      <c r="B61" s="144" t="s">
        <v>314</v>
      </c>
      <c r="C61" s="145"/>
      <c r="D61" s="146"/>
      <c r="E61" s="119"/>
      <c r="F61" s="120"/>
      <c r="G61" s="141"/>
      <c r="H61" s="127"/>
      <c r="I61" s="122"/>
      <c r="J61" s="123"/>
      <c r="K61" s="124"/>
      <c r="L61" s="125"/>
    </row>
    <row r="62" customFormat="false" ht="12.75" hidden="false" customHeight="false" outlineLevel="0" collapsed="false">
      <c r="B62" s="147" t="s">
        <v>315</v>
      </c>
      <c r="C62" s="147"/>
      <c r="D62" s="147"/>
      <c r="E62" s="119" t="s">
        <v>276</v>
      </c>
      <c r="F62" s="120" t="n">
        <v>0</v>
      </c>
      <c r="G62" s="141" t="n">
        <v>1</v>
      </c>
      <c r="H62" s="127"/>
      <c r="I62" s="122" t="n">
        <f aca="false">F62/G62</f>
        <v>0</v>
      </c>
      <c r="J62" s="123"/>
      <c r="K62" s="124" t="n">
        <f aca="false">J62*I62</f>
        <v>0</v>
      </c>
      <c r="L62" s="125"/>
    </row>
    <row r="63" customFormat="false" ht="12.75" hidden="false" customHeight="false" outlineLevel="0" collapsed="false">
      <c r="B63" s="144" t="s">
        <v>316</v>
      </c>
      <c r="C63" s="145"/>
      <c r="D63" s="146"/>
      <c r="E63" s="119" t="s">
        <v>276</v>
      </c>
      <c r="F63" s="120"/>
      <c r="G63" s="141"/>
      <c r="H63" s="127"/>
      <c r="I63" s="122"/>
      <c r="J63" s="123"/>
      <c r="K63" s="124"/>
      <c r="L63" s="125"/>
    </row>
    <row r="64" customFormat="false" ht="12.75" hidden="false" customHeight="false" outlineLevel="0" collapsed="false">
      <c r="B64" s="144" t="s">
        <v>317</v>
      </c>
      <c r="C64" s="145"/>
      <c r="D64" s="146"/>
      <c r="E64" s="119" t="s">
        <v>276</v>
      </c>
      <c r="F64" s="120"/>
      <c r="G64" s="141"/>
      <c r="H64" s="127"/>
      <c r="I64" s="122"/>
      <c r="J64" s="123"/>
      <c r="K64" s="124"/>
      <c r="L64" s="125"/>
    </row>
    <row r="65" customFormat="false" ht="12.75" hidden="false" customHeight="false" outlineLevel="0" collapsed="false">
      <c r="B65" s="144" t="s">
        <v>318</v>
      </c>
      <c r="C65" s="145"/>
      <c r="D65" s="146"/>
      <c r="E65" s="119" t="s">
        <v>276</v>
      </c>
      <c r="F65" s="120"/>
      <c r="G65" s="141"/>
      <c r="H65" s="127"/>
      <c r="I65" s="122"/>
      <c r="J65" s="123"/>
      <c r="K65" s="124"/>
      <c r="L65" s="125"/>
    </row>
    <row r="66" customFormat="false" ht="12.75" hidden="false" customHeight="false" outlineLevel="0" collapsed="false">
      <c r="B66" s="144" t="s">
        <v>319</v>
      </c>
      <c r="C66" s="145"/>
      <c r="D66" s="146"/>
      <c r="E66" s="119" t="s">
        <v>276</v>
      </c>
      <c r="F66" s="120"/>
      <c r="G66" s="141"/>
      <c r="H66" s="127"/>
      <c r="I66" s="122"/>
      <c r="J66" s="123"/>
      <c r="K66" s="124"/>
      <c r="L66" s="125"/>
    </row>
    <row r="67" customFormat="false" ht="12.75" hidden="false" customHeight="false" outlineLevel="0" collapsed="false">
      <c r="B67" s="144" t="s">
        <v>320</v>
      </c>
      <c r="C67" s="145"/>
      <c r="D67" s="146"/>
      <c r="E67" s="119" t="s">
        <v>276</v>
      </c>
      <c r="F67" s="120"/>
      <c r="G67" s="141"/>
      <c r="H67" s="127"/>
      <c r="I67" s="122"/>
      <c r="J67" s="123"/>
      <c r="K67" s="124"/>
      <c r="L67" s="125"/>
    </row>
    <row r="68" customFormat="false" ht="12.75" hidden="false" customHeight="false" outlineLevel="0" collapsed="false">
      <c r="B68" s="144" t="s">
        <v>321</v>
      </c>
      <c r="C68" s="145"/>
      <c r="D68" s="146"/>
      <c r="E68" s="119" t="s">
        <v>276</v>
      </c>
      <c r="F68" s="120"/>
      <c r="G68" s="141"/>
      <c r="H68" s="127"/>
      <c r="I68" s="122"/>
      <c r="J68" s="123"/>
      <c r="K68" s="124"/>
      <c r="L68" s="125"/>
    </row>
    <row r="69" customFormat="false" ht="12.75" hidden="false" customHeight="false" outlineLevel="0" collapsed="false">
      <c r="B69" s="144" t="s">
        <v>322</v>
      </c>
      <c r="C69" s="145"/>
      <c r="D69" s="146"/>
      <c r="E69" s="119" t="s">
        <v>276</v>
      </c>
      <c r="F69" s="120"/>
      <c r="G69" s="141"/>
      <c r="H69" s="127"/>
      <c r="I69" s="122"/>
      <c r="J69" s="123"/>
      <c r="K69" s="124"/>
      <c r="L69" s="125"/>
    </row>
    <row r="70" customFormat="false" ht="12.75" hidden="false" customHeight="false" outlineLevel="0" collapsed="false">
      <c r="B70" s="144" t="s">
        <v>323</v>
      </c>
      <c r="C70" s="145"/>
      <c r="D70" s="146"/>
      <c r="E70" s="119" t="s">
        <v>276</v>
      </c>
      <c r="F70" s="120"/>
      <c r="G70" s="141"/>
      <c r="H70" s="127"/>
      <c r="I70" s="122"/>
      <c r="J70" s="123"/>
      <c r="K70" s="124"/>
      <c r="L70" s="125"/>
    </row>
    <row r="71" customFormat="false" ht="12.75" hidden="false" customHeight="false" outlineLevel="0" collapsed="false">
      <c r="B71" s="144" t="s">
        <v>324</v>
      </c>
      <c r="C71" s="145"/>
      <c r="D71" s="146"/>
      <c r="E71" s="119" t="s">
        <v>276</v>
      </c>
      <c r="F71" s="120"/>
      <c r="G71" s="141"/>
      <c r="H71" s="127"/>
      <c r="I71" s="122"/>
      <c r="J71" s="123"/>
      <c r="K71" s="124"/>
      <c r="L71" s="125"/>
    </row>
    <row r="72" customFormat="false" ht="12.75" hidden="false" customHeight="false" outlineLevel="0" collapsed="false">
      <c r="B72" s="147" t="s">
        <v>325</v>
      </c>
      <c r="C72" s="147"/>
      <c r="D72" s="147"/>
      <c r="E72" s="119" t="s">
        <v>276</v>
      </c>
      <c r="F72" s="120" t="n">
        <v>0</v>
      </c>
      <c r="G72" s="141" t="n">
        <v>1</v>
      </c>
      <c r="H72" s="127"/>
      <c r="I72" s="122" t="n">
        <f aca="false">F72/G72</f>
        <v>0</v>
      </c>
      <c r="J72" s="123"/>
      <c r="K72" s="124" t="n">
        <f aca="false">J72*I72</f>
        <v>0</v>
      </c>
      <c r="L72" s="125"/>
    </row>
    <row r="73" customFormat="false" ht="12.75" hidden="false" customHeight="false" outlineLevel="0" collapsed="false">
      <c r="B73" s="147" t="s">
        <v>326</v>
      </c>
      <c r="C73" s="147"/>
      <c r="D73" s="147"/>
      <c r="E73" s="119" t="s">
        <v>276</v>
      </c>
      <c r="F73" s="120" t="n">
        <v>0</v>
      </c>
      <c r="G73" s="141" t="n">
        <v>1</v>
      </c>
      <c r="H73" s="127"/>
      <c r="I73" s="122" t="n">
        <f aca="false">F73/G73</f>
        <v>0</v>
      </c>
      <c r="J73" s="123"/>
      <c r="K73" s="124" t="n">
        <f aca="false">J73*I73</f>
        <v>0</v>
      </c>
      <c r="L73" s="125"/>
    </row>
    <row r="74" customFormat="false" ht="12.75" hidden="false" customHeight="false" outlineLevel="0" collapsed="false">
      <c r="B74" s="147" t="s">
        <v>327</v>
      </c>
      <c r="C74" s="147"/>
      <c r="D74" s="147"/>
      <c r="E74" s="119" t="s">
        <v>276</v>
      </c>
      <c r="F74" s="120" t="n">
        <v>0</v>
      </c>
      <c r="G74" s="141" t="n">
        <v>1</v>
      </c>
      <c r="H74" s="127"/>
      <c r="I74" s="122" t="n">
        <f aca="false">F74/G74</f>
        <v>0</v>
      </c>
      <c r="J74" s="123"/>
      <c r="K74" s="124" t="n">
        <f aca="false">J74*I74</f>
        <v>0</v>
      </c>
      <c r="L74" s="125"/>
    </row>
    <row r="75" customFormat="false" ht="12.75" hidden="false" customHeight="false" outlineLevel="0" collapsed="false">
      <c r="B75" s="147" t="s">
        <v>328</v>
      </c>
      <c r="C75" s="147"/>
      <c r="D75" s="147"/>
      <c r="E75" s="119" t="s">
        <v>276</v>
      </c>
      <c r="F75" s="120" t="n">
        <v>0</v>
      </c>
      <c r="G75" s="141" t="n">
        <v>1</v>
      </c>
      <c r="H75" s="127"/>
      <c r="I75" s="122" t="n">
        <f aca="false">F75/G75</f>
        <v>0</v>
      </c>
      <c r="J75" s="123"/>
      <c r="K75" s="124" t="n">
        <f aca="false">J75*I75</f>
        <v>0</v>
      </c>
      <c r="L75" s="125"/>
    </row>
    <row r="76" customFormat="false" ht="12.75" hidden="false" customHeight="false" outlineLevel="0" collapsed="false">
      <c r="B76" s="147" t="s">
        <v>329</v>
      </c>
      <c r="C76" s="147"/>
      <c r="D76" s="147"/>
      <c r="E76" s="119" t="s">
        <v>276</v>
      </c>
      <c r="F76" s="120" t="n">
        <v>0</v>
      </c>
      <c r="G76" s="141" t="n">
        <v>1</v>
      </c>
      <c r="H76" s="127"/>
      <c r="I76" s="122" t="n">
        <f aca="false">F76/G76</f>
        <v>0</v>
      </c>
      <c r="J76" s="123"/>
      <c r="K76" s="124" t="n">
        <f aca="false">J76*I76</f>
        <v>0</v>
      </c>
      <c r="L76" s="125"/>
    </row>
    <row r="77" customFormat="false" ht="12.75" hidden="false" customHeight="false" outlineLevel="0" collapsed="false">
      <c r="B77" s="147" t="s">
        <v>330</v>
      </c>
      <c r="C77" s="147"/>
      <c r="D77" s="147"/>
      <c r="E77" s="119" t="s">
        <v>276</v>
      </c>
      <c r="F77" s="120" t="n">
        <v>0</v>
      </c>
      <c r="G77" s="141" t="n">
        <v>1</v>
      </c>
      <c r="H77" s="127"/>
      <c r="I77" s="122" t="n">
        <f aca="false">F77/G77</f>
        <v>0</v>
      </c>
      <c r="J77" s="123"/>
      <c r="K77" s="124" t="n">
        <f aca="false">J77*I77</f>
        <v>0</v>
      </c>
      <c r="L77" s="125"/>
    </row>
    <row r="78" customFormat="false" ht="12.75" hidden="false" customHeight="false" outlineLevel="0" collapsed="false">
      <c r="B78" s="147" t="s">
        <v>331</v>
      </c>
      <c r="C78" s="147"/>
      <c r="D78" s="147"/>
      <c r="E78" s="119" t="s">
        <v>332</v>
      </c>
      <c r="F78" s="120" t="n">
        <v>0</v>
      </c>
      <c r="G78" s="141" t="n">
        <v>1</v>
      </c>
      <c r="H78" s="127"/>
      <c r="I78" s="122" t="n">
        <f aca="false">F78/G78</f>
        <v>0</v>
      </c>
      <c r="J78" s="123"/>
      <c r="K78" s="124" t="n">
        <f aca="false">J78*I78</f>
        <v>0</v>
      </c>
      <c r="L78" s="125"/>
    </row>
    <row r="79" customFormat="false" ht="12.75" hidden="false" customHeight="false" outlineLevel="0" collapsed="false">
      <c r="B79" s="144" t="s">
        <v>333</v>
      </c>
      <c r="C79" s="145"/>
      <c r="D79" s="146"/>
      <c r="E79" s="119" t="s">
        <v>332</v>
      </c>
      <c r="F79" s="120"/>
      <c r="G79" s="141"/>
      <c r="H79" s="127"/>
      <c r="I79" s="122"/>
      <c r="J79" s="123"/>
      <c r="K79" s="124"/>
      <c r="L79" s="125"/>
    </row>
    <row r="80" customFormat="false" ht="12.75" hidden="false" customHeight="false" outlineLevel="0" collapsed="false">
      <c r="B80" s="144" t="s">
        <v>334</v>
      </c>
      <c r="C80" s="145"/>
      <c r="D80" s="146"/>
      <c r="E80" s="119" t="s">
        <v>332</v>
      </c>
      <c r="F80" s="120"/>
      <c r="G80" s="141"/>
      <c r="H80" s="127"/>
      <c r="I80" s="122"/>
      <c r="J80" s="123"/>
      <c r="K80" s="124"/>
      <c r="L80" s="125"/>
    </row>
    <row r="81" customFormat="false" ht="12.75" hidden="false" customHeight="false" outlineLevel="0" collapsed="false">
      <c r="B81" s="144" t="s">
        <v>335</v>
      </c>
      <c r="C81" s="145"/>
      <c r="D81" s="146"/>
      <c r="E81" s="119" t="s">
        <v>332</v>
      </c>
      <c r="F81" s="120"/>
      <c r="G81" s="141"/>
      <c r="H81" s="127"/>
      <c r="I81" s="122"/>
      <c r="J81" s="123"/>
      <c r="K81" s="124"/>
      <c r="L81" s="125"/>
    </row>
    <row r="82" customFormat="false" ht="12.75" hidden="false" customHeight="false" outlineLevel="0" collapsed="false">
      <c r="B82" s="144" t="s">
        <v>336</v>
      </c>
      <c r="C82" s="145"/>
      <c r="D82" s="146"/>
      <c r="E82" s="119" t="s">
        <v>332</v>
      </c>
      <c r="F82" s="120"/>
      <c r="G82" s="141"/>
      <c r="H82" s="127"/>
      <c r="I82" s="122"/>
      <c r="J82" s="123"/>
      <c r="K82" s="124"/>
      <c r="L82" s="125"/>
    </row>
    <row r="83" customFormat="false" ht="12.75" hidden="false" customHeight="false" outlineLevel="0" collapsed="false">
      <c r="B83" s="144" t="s">
        <v>337</v>
      </c>
      <c r="C83" s="145"/>
      <c r="D83" s="146"/>
      <c r="E83" s="119" t="s">
        <v>332</v>
      </c>
      <c r="F83" s="120"/>
      <c r="G83" s="141"/>
      <c r="H83" s="127"/>
      <c r="I83" s="122"/>
      <c r="J83" s="123"/>
      <c r="K83" s="124"/>
      <c r="L83" s="125"/>
    </row>
    <row r="84" customFormat="false" ht="12.75" hidden="false" customHeight="false" outlineLevel="0" collapsed="false">
      <c r="B84" s="144" t="s">
        <v>338</v>
      </c>
      <c r="C84" s="145"/>
      <c r="D84" s="146"/>
      <c r="E84" s="119"/>
      <c r="F84" s="120"/>
      <c r="G84" s="141"/>
      <c r="H84" s="127"/>
      <c r="I84" s="122"/>
      <c r="J84" s="123"/>
      <c r="K84" s="124"/>
      <c r="L84" s="125"/>
    </row>
    <row r="85" customFormat="false" ht="12.75" hidden="false" customHeight="false" outlineLevel="0" collapsed="false">
      <c r="B85" s="144" t="s">
        <v>339</v>
      </c>
      <c r="C85" s="145"/>
      <c r="D85" s="146"/>
      <c r="E85" s="119"/>
      <c r="F85" s="120"/>
      <c r="G85" s="141"/>
      <c r="H85" s="127"/>
      <c r="I85" s="122"/>
      <c r="J85" s="123"/>
      <c r="K85" s="124"/>
      <c r="L85" s="125"/>
    </row>
    <row r="86" customFormat="false" ht="12.75" hidden="false" customHeight="false" outlineLevel="0" collapsed="false">
      <c r="B86" s="144" t="s">
        <v>340</v>
      </c>
      <c r="C86" s="145"/>
      <c r="D86" s="146"/>
      <c r="E86" s="119"/>
      <c r="F86" s="120"/>
      <c r="G86" s="141"/>
      <c r="H86" s="127"/>
      <c r="I86" s="122"/>
      <c r="J86" s="123"/>
      <c r="K86" s="124"/>
      <c r="L86" s="125"/>
    </row>
    <row r="87" customFormat="false" ht="12.75" hidden="false" customHeight="false" outlineLevel="0" collapsed="false">
      <c r="B87" s="144" t="s">
        <v>341</v>
      </c>
      <c r="C87" s="145"/>
      <c r="D87" s="146"/>
      <c r="E87" s="119"/>
      <c r="F87" s="120"/>
      <c r="G87" s="141"/>
      <c r="H87" s="127"/>
      <c r="I87" s="122"/>
      <c r="J87" s="123"/>
      <c r="K87" s="124"/>
      <c r="L87" s="125"/>
    </row>
    <row r="88" customFormat="false" ht="12.75" hidden="false" customHeight="false" outlineLevel="0" collapsed="false">
      <c r="B88" s="144" t="s">
        <v>342</v>
      </c>
      <c r="C88" s="145"/>
      <c r="D88" s="146"/>
      <c r="E88" s="119"/>
      <c r="F88" s="120"/>
      <c r="G88" s="141"/>
      <c r="H88" s="127"/>
      <c r="I88" s="122"/>
      <c r="J88" s="123"/>
      <c r="K88" s="124"/>
      <c r="L88" s="125"/>
    </row>
    <row r="89" customFormat="false" ht="12.75" hidden="false" customHeight="false" outlineLevel="0" collapsed="false">
      <c r="B89" s="144" t="s">
        <v>343</v>
      </c>
      <c r="C89" s="145"/>
      <c r="D89" s="146"/>
      <c r="E89" s="119"/>
      <c r="F89" s="120"/>
      <c r="G89" s="141"/>
      <c r="H89" s="127"/>
      <c r="I89" s="122"/>
      <c r="J89" s="123"/>
      <c r="K89" s="124"/>
      <c r="L89" s="125"/>
    </row>
    <row r="90" customFormat="false" ht="12.75" hidden="false" customHeight="false" outlineLevel="0" collapsed="false">
      <c r="B90" s="144" t="s">
        <v>226</v>
      </c>
      <c r="C90" s="145"/>
      <c r="D90" s="146"/>
      <c r="E90" s="119" t="s">
        <v>276</v>
      </c>
      <c r="F90" s="120"/>
      <c r="G90" s="141"/>
      <c r="H90" s="127"/>
      <c r="I90" s="122"/>
      <c r="J90" s="123"/>
      <c r="K90" s="124"/>
      <c r="L90" s="125"/>
    </row>
    <row r="91" customFormat="false" ht="12.75" hidden="false" customHeight="false" outlineLevel="0" collapsed="false">
      <c r="B91" s="144"/>
      <c r="C91" s="145"/>
      <c r="D91" s="146"/>
      <c r="E91" s="119"/>
      <c r="F91" s="120"/>
      <c r="G91" s="141"/>
      <c r="H91" s="127"/>
      <c r="I91" s="122"/>
      <c r="J91" s="123"/>
      <c r="K91" s="124"/>
      <c r="L91" s="125"/>
    </row>
    <row r="92" customFormat="false" ht="12.75" hidden="false" customHeight="false" outlineLevel="0" collapsed="false">
      <c r="B92" s="130"/>
      <c r="C92" s="130"/>
      <c r="D92" s="130"/>
      <c r="E92" s="119"/>
      <c r="F92" s="120" t="n">
        <v>0</v>
      </c>
      <c r="G92" s="141" t="n">
        <v>1</v>
      </c>
      <c r="H92" s="127"/>
      <c r="I92" s="122" t="n">
        <f aca="false">F92/G92</f>
        <v>0</v>
      </c>
      <c r="J92" s="123"/>
      <c r="K92" s="124" t="n">
        <f aca="false">J92*I92</f>
        <v>0</v>
      </c>
      <c r="L92" s="125"/>
    </row>
    <row r="93" customFormat="false" ht="12.75" hidden="false" customHeight="false" outlineLevel="0" collapsed="false">
      <c r="B93" s="130"/>
      <c r="C93" s="130"/>
      <c r="D93" s="130"/>
      <c r="E93" s="119"/>
      <c r="F93" s="120" t="n">
        <v>0</v>
      </c>
      <c r="G93" s="141" t="n">
        <v>1</v>
      </c>
      <c r="H93" s="127"/>
      <c r="I93" s="122" t="n">
        <f aca="false">F93/G93</f>
        <v>0</v>
      </c>
      <c r="J93" s="123"/>
      <c r="K93" s="124" t="n">
        <f aca="false">J93*I93</f>
        <v>0</v>
      </c>
      <c r="L93" s="132" t="n">
        <f aca="false">SUM(K57:K93)</f>
        <v>1.5</v>
      </c>
    </row>
    <row r="94" customFormat="false" ht="12.75" hidden="false" customHeight="false" outlineLevel="0" collapsed="false">
      <c r="E94" s="2"/>
      <c r="F94" s="3"/>
      <c r="G94" s="104"/>
      <c r="H94" s="5"/>
      <c r="I94" s="105"/>
      <c r="J94" s="106"/>
      <c r="K94" s="3" t="n">
        <f aca="false">SUM(K5:K93)</f>
        <v>563.067916666667</v>
      </c>
      <c r="L94" s="3" t="n">
        <f aca="false">SUM(L5:L93)</f>
        <v>563.067916666667</v>
      </c>
    </row>
    <row r="95" customFormat="false" ht="12.75" hidden="false" customHeight="false" outlineLevel="0" collapsed="false">
      <c r="D95" s="103"/>
      <c r="E95" s="148"/>
      <c r="F95" s="149"/>
      <c r="G95" s="150"/>
      <c r="H95" s="149"/>
      <c r="I95" s="149"/>
      <c r="K95" s="3"/>
      <c r="L95" s="3"/>
    </row>
    <row r="96" customFormat="false" ht="12.75" hidden="false" customHeight="false" outlineLevel="0" collapsed="false">
      <c r="D96" s="103"/>
      <c r="E96" s="103"/>
      <c r="F96" s="103"/>
      <c r="H96" s="102"/>
      <c r="K96" s="3"/>
      <c r="L96" s="3"/>
    </row>
    <row r="97" customFormat="false" ht="12.75" hidden="false" customHeight="false" outlineLevel="0" collapsed="false">
      <c r="D97" s="103"/>
      <c r="E97" s="103"/>
      <c r="F97" s="103"/>
      <c r="H97" s="102"/>
      <c r="K97" s="3"/>
      <c r="L97" s="3"/>
    </row>
    <row r="98" customFormat="false" ht="12.75" hidden="false" customHeight="false" outlineLevel="0" collapsed="false">
      <c r="D98" s="103"/>
      <c r="E98" s="103"/>
      <c r="F98" s="103"/>
      <c r="H98" s="102"/>
      <c r="K98" s="3"/>
      <c r="L98" s="3"/>
    </row>
    <row r="99" customFormat="false" ht="12.75" hidden="false" customHeight="false" outlineLevel="0" collapsed="false">
      <c r="D99" s="103"/>
      <c r="E99" s="103"/>
      <c r="F99" s="103"/>
      <c r="H99" s="102"/>
      <c r="K99" s="3"/>
      <c r="L99" s="3"/>
    </row>
    <row r="100" customFormat="false" ht="12.75" hidden="false" customHeight="false" outlineLevel="0" collapsed="false">
      <c r="D100" s="103"/>
      <c r="E100" s="148"/>
      <c r="F100" s="149"/>
      <c r="G100" s="151"/>
      <c r="H100" s="150"/>
      <c r="K100" s="3"/>
      <c r="L100" s="3"/>
    </row>
    <row r="101" customFormat="false" ht="12.75" hidden="false" customHeight="false" outlineLevel="0" collapsed="false">
      <c r="D101" s="103"/>
      <c r="H101" s="102"/>
      <c r="J101" s="103"/>
      <c r="K101" s="3"/>
      <c r="L101" s="3"/>
    </row>
    <row r="102" customFormat="false" ht="12.75" hidden="false" customHeight="false" outlineLevel="0" collapsed="false">
      <c r="B102" s="1" t="s">
        <v>2</v>
      </c>
      <c r="D102" s="103"/>
      <c r="E102" s="148"/>
      <c r="F102" s="149"/>
      <c r="G102" s="151"/>
      <c r="H102" s="150"/>
      <c r="K102" s="3"/>
      <c r="L102" s="3"/>
    </row>
    <row r="103" customFormat="false" ht="12.75" hidden="false" customHeight="false" outlineLevel="0" collapsed="false">
      <c r="E103" s="2"/>
      <c r="F103" s="3"/>
      <c r="G103" s="104"/>
      <c r="H103" s="5"/>
      <c r="I103" s="105"/>
      <c r="J103" s="106"/>
      <c r="K103" s="3"/>
      <c r="L103" s="3"/>
    </row>
    <row r="104" customFormat="false" ht="12.75" hidden="false" customHeight="false" outlineLevel="0" collapsed="false">
      <c r="E104" s="2"/>
      <c r="F104" s="3"/>
      <c r="G104" s="104"/>
      <c r="H104" s="5"/>
      <c r="I104" s="105"/>
      <c r="J104" s="106"/>
      <c r="K104" s="3"/>
      <c r="L104" s="3"/>
    </row>
    <row r="105" customFormat="false" ht="12.75" hidden="false" customHeight="false" outlineLevel="0" collapsed="false">
      <c r="E105" s="2"/>
      <c r="F105" s="3"/>
      <c r="G105" s="104"/>
      <c r="H105" s="5"/>
      <c r="I105" s="105"/>
      <c r="J105" s="106"/>
      <c r="K105" s="3"/>
      <c r="L105" s="3"/>
    </row>
    <row r="106" customFormat="false" ht="12.75" hidden="false" customHeight="false" outlineLevel="0" collapsed="false">
      <c r="E106" s="2"/>
      <c r="F106" s="3"/>
      <c r="G106" s="104"/>
      <c r="H106" s="5"/>
      <c r="I106" s="105"/>
      <c r="J106" s="106"/>
      <c r="K106" s="3"/>
      <c r="L106" s="3"/>
    </row>
    <row r="107" customFormat="false" ht="12.75" hidden="false" customHeight="false" outlineLevel="0" collapsed="false">
      <c r="E107" s="2"/>
      <c r="F107" s="3"/>
      <c r="G107" s="104"/>
      <c r="H107" s="5"/>
      <c r="I107" s="105"/>
      <c r="J107" s="106"/>
      <c r="K107" s="3"/>
      <c r="L107" s="3"/>
    </row>
    <row r="108" customFormat="false" ht="12.75" hidden="false" customHeight="false" outlineLevel="0" collapsed="false">
      <c r="E108" s="2"/>
      <c r="F108" s="3"/>
      <c r="G108" s="104"/>
      <c r="H108" s="5"/>
      <c r="I108" s="105"/>
      <c r="J108" s="106"/>
      <c r="K108" s="3"/>
      <c r="L108" s="3"/>
    </row>
    <row r="109" customFormat="false" ht="12.75" hidden="false" customHeight="false" outlineLevel="0" collapsed="false">
      <c r="E109" s="2"/>
      <c r="F109" s="3"/>
      <c r="G109" s="104"/>
      <c r="H109" s="5"/>
      <c r="I109" s="105"/>
      <c r="J109" s="106"/>
      <c r="K109" s="3"/>
      <c r="L109" s="3"/>
    </row>
    <row r="110" customFormat="false" ht="12.75" hidden="false" customHeight="false" outlineLevel="0" collapsed="false">
      <c r="E110" s="2"/>
      <c r="F110" s="3"/>
      <c r="G110" s="104"/>
      <c r="H110" s="5"/>
      <c r="I110" s="105"/>
      <c r="J110" s="106"/>
      <c r="K110" s="3"/>
      <c r="L110" s="3"/>
    </row>
    <row r="111" customFormat="false" ht="12.75" hidden="false" customHeight="false" outlineLevel="0" collapsed="false">
      <c r="E111" s="2"/>
      <c r="F111" s="3"/>
      <c r="G111" s="104"/>
      <c r="H111" s="5"/>
      <c r="I111" s="105"/>
      <c r="J111" s="106"/>
      <c r="K111" s="3"/>
      <c r="L111" s="3"/>
    </row>
    <row r="112" customFormat="false" ht="12.75" hidden="false" customHeight="false" outlineLevel="0" collapsed="false">
      <c r="E112" s="2"/>
      <c r="F112" s="3"/>
      <c r="G112" s="104"/>
      <c r="H112" s="5"/>
      <c r="I112" s="105"/>
      <c r="J112" s="106"/>
      <c r="K112" s="3"/>
      <c r="L112" s="3"/>
    </row>
    <row r="113" customFormat="false" ht="12.75" hidden="false" customHeight="false" outlineLevel="0" collapsed="false">
      <c r="E113" s="2"/>
      <c r="F113" s="3"/>
      <c r="G113" s="104"/>
      <c r="H113" s="5"/>
      <c r="I113" s="105"/>
      <c r="J113" s="106"/>
      <c r="K113" s="3"/>
      <c r="L113" s="3"/>
    </row>
    <row r="114" customFormat="false" ht="12.75" hidden="false" customHeight="false" outlineLevel="0" collapsed="false">
      <c r="E114" s="2"/>
      <c r="F114" s="3"/>
      <c r="G114" s="104"/>
      <c r="H114" s="5"/>
      <c r="I114" s="105"/>
      <c r="J114" s="106"/>
      <c r="K114" s="3"/>
      <c r="L114" s="3"/>
    </row>
    <row r="115" customFormat="false" ht="12.75" hidden="false" customHeight="false" outlineLevel="0" collapsed="false">
      <c r="E115" s="2"/>
      <c r="F115" s="3"/>
      <c r="G115" s="104"/>
      <c r="H115" s="5"/>
      <c r="I115" s="105"/>
      <c r="J115" s="106"/>
      <c r="K115" s="3"/>
      <c r="L115" s="3"/>
    </row>
    <row r="116" customFormat="false" ht="12.75" hidden="false" customHeight="false" outlineLevel="0" collapsed="false">
      <c r="E116" s="2"/>
      <c r="F116" s="3"/>
      <c r="G116" s="104"/>
      <c r="H116" s="5"/>
      <c r="I116" s="105"/>
      <c r="J116" s="106"/>
      <c r="K116" s="3"/>
      <c r="L116" s="3"/>
    </row>
    <row r="117" customFormat="false" ht="12.75" hidden="false" customHeight="false" outlineLevel="0" collapsed="false">
      <c r="E117" s="2"/>
      <c r="F117" s="3"/>
      <c r="G117" s="104"/>
      <c r="H117" s="5"/>
      <c r="I117" s="105"/>
      <c r="J117" s="106"/>
      <c r="K117" s="3"/>
      <c r="L117" s="3"/>
    </row>
    <row r="118" customFormat="false" ht="12.75" hidden="false" customHeight="false" outlineLevel="0" collapsed="false">
      <c r="E118" s="2"/>
      <c r="F118" s="3"/>
      <c r="G118" s="104"/>
      <c r="H118" s="5"/>
      <c r="I118" s="105"/>
      <c r="J118" s="106"/>
      <c r="K118" s="3"/>
      <c r="L118" s="3"/>
    </row>
    <row r="119" customFormat="false" ht="12.75" hidden="false" customHeight="false" outlineLevel="0" collapsed="false">
      <c r="E119" s="2"/>
      <c r="F119" s="3"/>
      <c r="G119" s="104"/>
      <c r="H119" s="5"/>
      <c r="I119" s="105"/>
      <c r="J119" s="106"/>
      <c r="K119" s="3"/>
      <c r="L119" s="3"/>
    </row>
    <row r="120" customFormat="false" ht="12.75" hidden="false" customHeight="false" outlineLevel="0" collapsed="false">
      <c r="E120" s="2"/>
      <c r="F120" s="3"/>
      <c r="G120" s="104"/>
      <c r="H120" s="5"/>
      <c r="I120" s="105"/>
      <c r="J120" s="106"/>
      <c r="K120" s="3"/>
      <c r="L120" s="3"/>
    </row>
    <row r="121" customFormat="false" ht="12.75" hidden="false" customHeight="false" outlineLevel="0" collapsed="false">
      <c r="E121" s="2"/>
      <c r="F121" s="3"/>
      <c r="G121" s="104"/>
      <c r="H121" s="5"/>
      <c r="I121" s="105"/>
      <c r="J121" s="106"/>
      <c r="K121" s="3"/>
      <c r="L121" s="3"/>
    </row>
    <row r="122" customFormat="false" ht="12.75" hidden="false" customHeight="false" outlineLevel="0" collapsed="false">
      <c r="E122" s="2"/>
      <c r="F122" s="3"/>
      <c r="G122" s="104"/>
      <c r="H122" s="5"/>
      <c r="I122" s="105"/>
      <c r="J122" s="106"/>
      <c r="K122" s="3"/>
      <c r="L122" s="3"/>
    </row>
    <row r="123" customFormat="false" ht="12.75" hidden="false" customHeight="false" outlineLevel="0" collapsed="false">
      <c r="E123" s="2"/>
      <c r="F123" s="3"/>
      <c r="G123" s="104"/>
      <c r="H123" s="5"/>
      <c r="I123" s="105"/>
      <c r="J123" s="106"/>
      <c r="K123" s="3"/>
      <c r="L123" s="3"/>
    </row>
    <row r="124" customFormat="false" ht="12.75" hidden="false" customHeight="false" outlineLevel="0" collapsed="false">
      <c r="E124" s="2"/>
      <c r="F124" s="3"/>
      <c r="G124" s="104"/>
      <c r="H124" s="5"/>
      <c r="I124" s="105"/>
      <c r="J124" s="106"/>
      <c r="K124" s="3"/>
      <c r="L124" s="3"/>
    </row>
    <row r="125" customFormat="false" ht="12.75" hidden="false" customHeight="false" outlineLevel="0" collapsed="false">
      <c r="E125" s="2"/>
      <c r="F125" s="3"/>
      <c r="G125" s="104"/>
      <c r="H125" s="5"/>
      <c r="I125" s="105"/>
      <c r="J125" s="106"/>
      <c r="K125" s="3"/>
      <c r="L125" s="3"/>
    </row>
    <row r="126" customFormat="false" ht="12.75" hidden="false" customHeight="false" outlineLevel="0" collapsed="false">
      <c r="E126" s="2"/>
      <c r="F126" s="3"/>
      <c r="G126" s="104"/>
      <c r="H126" s="5"/>
      <c r="I126" s="105"/>
      <c r="J126" s="106"/>
      <c r="K126" s="3"/>
      <c r="L126" s="3"/>
    </row>
    <row r="127" customFormat="false" ht="12.75" hidden="false" customHeight="false" outlineLevel="0" collapsed="false">
      <c r="E127" s="2"/>
      <c r="F127" s="3"/>
      <c r="G127" s="104"/>
      <c r="H127" s="5"/>
      <c r="I127" s="105"/>
      <c r="J127" s="106"/>
      <c r="K127" s="3"/>
      <c r="L127" s="3"/>
    </row>
    <row r="128" customFormat="false" ht="12.75" hidden="false" customHeight="false" outlineLevel="0" collapsed="false">
      <c r="E128" s="2"/>
      <c r="F128" s="3"/>
      <c r="G128" s="104"/>
      <c r="H128" s="5"/>
      <c r="I128" s="105"/>
      <c r="J128" s="106"/>
      <c r="K128" s="3"/>
      <c r="L128" s="3"/>
    </row>
    <row r="129" customFormat="false" ht="12.75" hidden="false" customHeight="false" outlineLevel="0" collapsed="false">
      <c r="E129" s="2"/>
      <c r="F129" s="3"/>
      <c r="G129" s="104"/>
      <c r="H129" s="5"/>
      <c r="I129" s="105"/>
      <c r="J129" s="106"/>
      <c r="K129" s="3"/>
      <c r="L129" s="3"/>
    </row>
    <row r="130" customFormat="false" ht="12.75" hidden="false" customHeight="false" outlineLevel="0" collapsed="false">
      <c r="E130" s="2"/>
      <c r="F130" s="3"/>
      <c r="G130" s="104"/>
      <c r="H130" s="5"/>
      <c r="I130" s="105"/>
      <c r="J130" s="106"/>
      <c r="K130" s="3"/>
      <c r="L130" s="3"/>
    </row>
    <row r="131" customFormat="false" ht="12.75" hidden="false" customHeight="false" outlineLevel="0" collapsed="false">
      <c r="E131" s="2"/>
      <c r="F131" s="3"/>
      <c r="G131" s="104"/>
      <c r="H131" s="5"/>
      <c r="I131" s="105"/>
      <c r="J131" s="106"/>
      <c r="K131" s="3"/>
      <c r="L131" s="3"/>
    </row>
    <row r="132" customFormat="false" ht="12.75" hidden="false" customHeight="false" outlineLevel="0" collapsed="false">
      <c r="E132" s="2"/>
      <c r="F132" s="3"/>
      <c r="G132" s="104"/>
      <c r="H132" s="5"/>
      <c r="I132" s="105"/>
      <c r="J132" s="106"/>
      <c r="K132" s="3"/>
      <c r="L132" s="3"/>
    </row>
    <row r="133" customFormat="false" ht="12.75" hidden="false" customHeight="false" outlineLevel="0" collapsed="false">
      <c r="E133" s="2"/>
      <c r="F133" s="3"/>
      <c r="G133" s="104"/>
      <c r="H133" s="5"/>
      <c r="I133" s="105"/>
      <c r="J133" s="106"/>
      <c r="K133" s="3"/>
      <c r="L133" s="3"/>
    </row>
    <row r="134" customFormat="false" ht="12.75" hidden="false" customHeight="false" outlineLevel="0" collapsed="false">
      <c r="E134" s="2"/>
      <c r="F134" s="3"/>
      <c r="G134" s="104"/>
      <c r="H134" s="5"/>
      <c r="I134" s="105"/>
      <c r="J134" s="106"/>
      <c r="K134" s="3"/>
      <c r="L134" s="3"/>
    </row>
    <row r="135" customFormat="false" ht="12.75" hidden="false" customHeight="false" outlineLevel="0" collapsed="false">
      <c r="E135" s="2"/>
      <c r="F135" s="3"/>
      <c r="G135" s="104"/>
      <c r="H135" s="5"/>
      <c r="I135" s="105"/>
      <c r="J135" s="106"/>
      <c r="K135" s="3"/>
      <c r="L135" s="3"/>
    </row>
    <row r="136" customFormat="false" ht="12.75" hidden="false" customHeight="false" outlineLevel="0" collapsed="false">
      <c r="E136" s="2"/>
      <c r="F136" s="3"/>
      <c r="G136" s="104"/>
      <c r="H136" s="5"/>
      <c r="I136" s="105"/>
      <c r="J136" s="106"/>
      <c r="K136" s="3"/>
      <c r="L136" s="3"/>
    </row>
    <row r="137" customFormat="false" ht="12.75" hidden="false" customHeight="false" outlineLevel="0" collapsed="false">
      <c r="E137" s="2"/>
      <c r="F137" s="3"/>
      <c r="G137" s="104"/>
      <c r="H137" s="5"/>
      <c r="I137" s="105"/>
      <c r="J137" s="106"/>
      <c r="K137" s="3"/>
      <c r="L137" s="3"/>
    </row>
    <row r="138" customFormat="false" ht="12.75" hidden="false" customHeight="false" outlineLevel="0" collapsed="false">
      <c r="E138" s="2"/>
      <c r="F138" s="3"/>
      <c r="G138" s="104"/>
      <c r="H138" s="5"/>
      <c r="I138" s="105"/>
      <c r="J138" s="106"/>
      <c r="K138" s="3"/>
      <c r="L138" s="3"/>
    </row>
    <row r="139" customFormat="false" ht="12.75" hidden="false" customHeight="false" outlineLevel="0" collapsed="false">
      <c r="E139" s="2"/>
      <c r="F139" s="3"/>
      <c r="G139" s="104"/>
      <c r="H139" s="5"/>
      <c r="I139" s="105"/>
      <c r="J139" s="106"/>
      <c r="K139" s="3"/>
      <c r="L139" s="3"/>
    </row>
    <row r="140" customFormat="false" ht="12.75" hidden="false" customHeight="false" outlineLevel="0" collapsed="false">
      <c r="E140" s="2"/>
      <c r="F140" s="3"/>
      <c r="G140" s="104"/>
      <c r="H140" s="5"/>
      <c r="I140" s="105"/>
      <c r="J140" s="106"/>
      <c r="K140" s="3"/>
      <c r="L140" s="3"/>
    </row>
    <row r="141" customFormat="false" ht="12.75" hidden="false" customHeight="false" outlineLevel="0" collapsed="false">
      <c r="E141" s="2"/>
      <c r="F141" s="3"/>
      <c r="G141" s="104"/>
      <c r="H141" s="5"/>
      <c r="I141" s="105"/>
      <c r="J141" s="106"/>
      <c r="K141" s="3"/>
      <c r="L141" s="3"/>
    </row>
    <row r="142" customFormat="false" ht="12.75" hidden="false" customHeight="false" outlineLevel="0" collapsed="false">
      <c r="E142" s="2"/>
      <c r="F142" s="3"/>
      <c r="G142" s="104"/>
      <c r="H142" s="5"/>
      <c r="I142" s="105"/>
      <c r="J142" s="106"/>
      <c r="K142" s="3"/>
      <c r="L142" s="3"/>
    </row>
    <row r="143" customFormat="false" ht="12.75" hidden="false" customHeight="false" outlineLevel="0" collapsed="false">
      <c r="E143" s="2"/>
      <c r="F143" s="3"/>
      <c r="G143" s="104"/>
      <c r="H143" s="5"/>
      <c r="I143" s="105"/>
      <c r="J143" s="106"/>
    </row>
    <row r="144" s="1" customFormat="true" ht="12.75" hidden="false" customHeight="false" outlineLevel="0" collapsed="false">
      <c r="E144" s="2"/>
      <c r="F144" s="3"/>
      <c r="G144" s="104"/>
      <c r="H144" s="5"/>
      <c r="I144" s="105"/>
      <c r="J144" s="106"/>
      <c r="K144" s="3"/>
      <c r="L144" s="3"/>
      <c r="AA144" s="103"/>
    </row>
    <row r="145" s="1" customFormat="true" ht="12.75" hidden="false" customHeight="false" outlineLevel="0" collapsed="false">
      <c r="E145" s="2"/>
      <c r="F145" s="3"/>
      <c r="G145" s="104"/>
      <c r="H145" s="5"/>
      <c r="I145" s="105"/>
      <c r="J145" s="106"/>
      <c r="K145" s="3"/>
      <c r="L145" s="3"/>
      <c r="AA145" s="103"/>
    </row>
    <row r="146" s="1" customFormat="true" ht="12.75" hidden="false" customHeight="false" outlineLevel="0" collapsed="false">
      <c r="E146" s="2"/>
      <c r="F146" s="3"/>
      <c r="G146" s="104"/>
      <c r="H146" s="5"/>
      <c r="I146" s="105"/>
      <c r="J146" s="106"/>
      <c r="K146" s="3"/>
      <c r="L146" s="3"/>
      <c r="AA146" s="103"/>
    </row>
    <row r="147" s="1" customFormat="true" ht="12.75" hidden="false" customHeight="false" outlineLevel="0" collapsed="false">
      <c r="E147" s="2"/>
      <c r="F147" s="3"/>
      <c r="G147" s="104"/>
      <c r="H147" s="5"/>
      <c r="I147" s="105"/>
      <c r="J147" s="106"/>
      <c r="K147" s="3"/>
      <c r="L147" s="3"/>
      <c r="AA147" s="103"/>
    </row>
    <row r="148" s="1" customFormat="true" ht="12.75" hidden="false" customHeight="false" outlineLevel="0" collapsed="false">
      <c r="E148" s="2"/>
      <c r="F148" s="3"/>
      <c r="G148" s="104"/>
      <c r="H148" s="5"/>
      <c r="I148" s="105"/>
      <c r="J148" s="106"/>
      <c r="K148" s="3"/>
      <c r="L148" s="3"/>
      <c r="AA148" s="103"/>
    </row>
    <row r="149" s="1" customFormat="true" ht="12.75" hidden="false" customHeight="false" outlineLevel="0" collapsed="false">
      <c r="E149" s="2"/>
      <c r="F149" s="3"/>
      <c r="G149" s="104"/>
      <c r="H149" s="5"/>
      <c r="I149" s="105"/>
      <c r="J149" s="106"/>
      <c r="K149" s="3"/>
      <c r="L149" s="3"/>
      <c r="AA149" s="103"/>
    </row>
    <row r="150" s="1" customFormat="true" ht="12.75" hidden="false" customHeight="false" outlineLevel="0" collapsed="false">
      <c r="E150" s="2"/>
      <c r="F150" s="3"/>
      <c r="G150" s="104"/>
      <c r="H150" s="5"/>
      <c r="I150" s="105"/>
      <c r="J150" s="106"/>
      <c r="K150" s="3"/>
      <c r="L150" s="3"/>
      <c r="AA150" s="103"/>
    </row>
    <row r="151" s="1" customFormat="true" ht="12.75" hidden="false" customHeight="false" outlineLevel="0" collapsed="false">
      <c r="E151" s="2"/>
      <c r="F151" s="3"/>
      <c r="G151" s="104"/>
      <c r="H151" s="5"/>
      <c r="I151" s="105"/>
      <c r="J151" s="106"/>
      <c r="K151" s="3"/>
      <c r="L151" s="3"/>
      <c r="AA151" s="103"/>
    </row>
    <row r="152" s="1" customFormat="true" ht="12.75" hidden="false" customHeight="false" outlineLevel="0" collapsed="false">
      <c r="E152" s="2"/>
      <c r="F152" s="3"/>
      <c r="G152" s="104"/>
      <c r="H152" s="5"/>
      <c r="I152" s="105"/>
      <c r="J152" s="106"/>
      <c r="K152" s="3"/>
      <c r="L152" s="3"/>
      <c r="AA152" s="103"/>
    </row>
    <row r="153" s="1" customFormat="true" ht="12.75" hidden="false" customHeight="false" outlineLevel="0" collapsed="false">
      <c r="E153" s="2"/>
      <c r="F153" s="3"/>
      <c r="G153" s="104"/>
      <c r="H153" s="5"/>
      <c r="I153" s="105"/>
      <c r="J153" s="106"/>
      <c r="K153" s="3"/>
      <c r="L153" s="3"/>
      <c r="AA153" s="103"/>
    </row>
    <row r="154" s="1" customFormat="true" ht="12.75" hidden="false" customHeight="false" outlineLevel="0" collapsed="false">
      <c r="E154" s="2"/>
      <c r="F154" s="3"/>
      <c r="G154" s="104"/>
      <c r="H154" s="5"/>
      <c r="I154" s="105"/>
      <c r="J154" s="106"/>
      <c r="K154" s="3"/>
      <c r="L154" s="3"/>
      <c r="AA154" s="103"/>
    </row>
    <row r="155" s="1" customFormat="true" ht="12.75" hidden="false" customHeight="false" outlineLevel="0" collapsed="false">
      <c r="E155" s="2"/>
      <c r="F155" s="3"/>
      <c r="G155" s="104"/>
      <c r="H155" s="5"/>
      <c r="I155" s="105"/>
      <c r="J155" s="106"/>
      <c r="K155" s="3"/>
      <c r="L155" s="3"/>
      <c r="AA155" s="103"/>
    </row>
    <row r="156" s="1" customFormat="true" ht="12.75" hidden="false" customHeight="false" outlineLevel="0" collapsed="false">
      <c r="E156" s="2"/>
      <c r="F156" s="3"/>
      <c r="G156" s="104"/>
      <c r="H156" s="5"/>
      <c r="I156" s="105"/>
      <c r="J156" s="106"/>
      <c r="K156" s="3"/>
      <c r="L156" s="3"/>
      <c r="AA156" s="103"/>
    </row>
    <row r="157" s="1" customFormat="true" ht="12.75" hidden="false" customHeight="false" outlineLevel="0" collapsed="false">
      <c r="E157" s="2"/>
      <c r="F157" s="3"/>
      <c r="G157" s="104"/>
      <c r="H157" s="5"/>
      <c r="I157" s="105"/>
      <c r="J157" s="106"/>
      <c r="K157" s="3"/>
      <c r="L157" s="3"/>
      <c r="AA157" s="103"/>
    </row>
    <row r="158" s="1" customFormat="true" ht="12.75" hidden="false" customHeight="false" outlineLevel="0" collapsed="false">
      <c r="E158" s="2"/>
      <c r="F158" s="3"/>
      <c r="G158" s="104"/>
      <c r="H158" s="5"/>
      <c r="I158" s="105"/>
      <c r="J158" s="106"/>
      <c r="K158" s="3"/>
      <c r="L158" s="3"/>
      <c r="AA158" s="103"/>
    </row>
    <row r="159" s="1" customFormat="true" ht="12.75" hidden="false" customHeight="false" outlineLevel="0" collapsed="false">
      <c r="E159" s="2"/>
      <c r="F159" s="3"/>
      <c r="G159" s="104"/>
      <c r="H159" s="5"/>
      <c r="I159" s="105"/>
      <c r="J159" s="106"/>
      <c r="K159" s="3"/>
      <c r="L159" s="3"/>
      <c r="AA159" s="103"/>
    </row>
    <row r="160" s="1" customFormat="true" ht="12.75" hidden="false" customHeight="false" outlineLevel="0" collapsed="false">
      <c r="E160" s="2"/>
      <c r="F160" s="3"/>
      <c r="G160" s="104"/>
      <c r="H160" s="5"/>
      <c r="I160" s="105"/>
      <c r="J160" s="106"/>
      <c r="K160" s="3"/>
      <c r="L160" s="3"/>
      <c r="AA160" s="103"/>
    </row>
    <row r="161" s="1" customFormat="true" ht="12.75" hidden="false" customHeight="false" outlineLevel="0" collapsed="false">
      <c r="E161" s="2"/>
      <c r="F161" s="3"/>
      <c r="G161" s="104"/>
      <c r="H161" s="5"/>
      <c r="I161" s="105"/>
      <c r="J161" s="106"/>
      <c r="K161" s="3"/>
      <c r="L161" s="3"/>
      <c r="AA161" s="103"/>
    </row>
    <row r="162" s="1" customFormat="true" ht="12.75" hidden="false" customHeight="false" outlineLevel="0" collapsed="false">
      <c r="E162" s="2"/>
      <c r="F162" s="3"/>
      <c r="G162" s="104"/>
      <c r="H162" s="5"/>
      <c r="I162" s="105"/>
      <c r="J162" s="106"/>
      <c r="K162" s="3"/>
      <c r="L162" s="3"/>
      <c r="AA162" s="103"/>
    </row>
    <row r="163" s="1" customFormat="true" ht="12.75" hidden="false" customHeight="false" outlineLevel="0" collapsed="false">
      <c r="E163" s="2"/>
      <c r="F163" s="3"/>
      <c r="G163" s="104"/>
      <c r="H163" s="5"/>
      <c r="I163" s="105"/>
      <c r="J163" s="106"/>
      <c r="K163" s="3"/>
      <c r="L163" s="3"/>
      <c r="AA163" s="103"/>
    </row>
    <row r="164" s="1" customFormat="true" ht="12.75" hidden="false" customHeight="false" outlineLevel="0" collapsed="false">
      <c r="E164" s="2"/>
      <c r="F164" s="3"/>
      <c r="G164" s="104"/>
      <c r="H164" s="5"/>
      <c r="I164" s="105"/>
      <c r="J164" s="106"/>
      <c r="K164" s="3"/>
      <c r="L164" s="3"/>
      <c r="AA164" s="103"/>
    </row>
    <row r="165" s="1" customFormat="true" ht="12.75" hidden="false" customHeight="false" outlineLevel="0" collapsed="false">
      <c r="E165" s="2"/>
      <c r="F165" s="3"/>
      <c r="G165" s="104"/>
      <c r="H165" s="5"/>
      <c r="I165" s="105"/>
      <c r="J165" s="106"/>
      <c r="K165" s="3"/>
      <c r="L165" s="3"/>
      <c r="AA165" s="103"/>
    </row>
    <row r="166" s="1" customFormat="true" ht="12.75" hidden="false" customHeight="false" outlineLevel="0" collapsed="false">
      <c r="E166" s="2"/>
      <c r="F166" s="3"/>
      <c r="G166" s="104"/>
      <c r="H166" s="5"/>
      <c r="I166" s="105"/>
      <c r="J166" s="106"/>
      <c r="K166" s="3"/>
      <c r="L166" s="3"/>
      <c r="AA166" s="103"/>
    </row>
    <row r="167" s="1" customFormat="true" ht="12.75" hidden="false" customHeight="false" outlineLevel="0" collapsed="false">
      <c r="E167" s="2"/>
      <c r="F167" s="3"/>
      <c r="G167" s="104"/>
      <c r="H167" s="5"/>
      <c r="I167" s="105"/>
      <c r="J167" s="106"/>
      <c r="K167" s="3"/>
      <c r="L167" s="3"/>
      <c r="AA167" s="103"/>
    </row>
    <row r="168" s="1" customFormat="true" ht="12.75" hidden="false" customHeight="false" outlineLevel="0" collapsed="false">
      <c r="E168" s="2"/>
      <c r="F168" s="3"/>
      <c r="G168" s="104"/>
      <c r="H168" s="5"/>
      <c r="I168" s="105"/>
      <c r="J168" s="106"/>
      <c r="K168" s="3"/>
      <c r="L168" s="3"/>
      <c r="AA168" s="103"/>
    </row>
    <row r="169" s="1" customFormat="true" ht="12.75" hidden="false" customHeight="false" outlineLevel="0" collapsed="false">
      <c r="E169" s="2"/>
      <c r="F169" s="3"/>
      <c r="G169" s="104"/>
      <c r="H169" s="5"/>
      <c r="I169" s="105"/>
      <c r="J169" s="106"/>
      <c r="K169" s="3"/>
      <c r="L169" s="3"/>
      <c r="AA169" s="103"/>
    </row>
    <row r="170" s="1" customFormat="true" ht="12.75" hidden="false" customHeight="false" outlineLevel="0" collapsed="false">
      <c r="E170" s="2"/>
      <c r="F170" s="3"/>
      <c r="G170" s="104"/>
      <c r="H170" s="5"/>
      <c r="I170" s="105"/>
      <c r="J170" s="106"/>
      <c r="K170" s="3"/>
      <c r="L170" s="3"/>
      <c r="AA170" s="103"/>
    </row>
    <row r="171" s="1" customFormat="true" ht="12.75" hidden="false" customHeight="false" outlineLevel="0" collapsed="false">
      <c r="E171" s="2"/>
      <c r="F171" s="3"/>
      <c r="G171" s="104"/>
      <c r="H171" s="5"/>
      <c r="I171" s="105"/>
      <c r="J171" s="106"/>
      <c r="K171" s="3"/>
      <c r="L171" s="3"/>
      <c r="AA171" s="103"/>
    </row>
    <row r="172" s="1" customFormat="true" ht="12.75" hidden="false" customHeight="false" outlineLevel="0" collapsed="false">
      <c r="E172" s="2"/>
      <c r="F172" s="3"/>
      <c r="G172" s="104"/>
      <c r="H172" s="5"/>
      <c r="I172" s="105"/>
      <c r="J172" s="106"/>
      <c r="K172" s="3"/>
      <c r="L172" s="3"/>
      <c r="AA172" s="103"/>
    </row>
    <row r="173" s="1" customFormat="true" ht="12.75" hidden="false" customHeight="false" outlineLevel="0" collapsed="false">
      <c r="E173" s="2"/>
      <c r="F173" s="3"/>
      <c r="G173" s="104"/>
      <c r="H173" s="5"/>
      <c r="I173" s="105"/>
      <c r="J173" s="106"/>
      <c r="K173" s="3"/>
      <c r="L173" s="3"/>
      <c r="AA173" s="103"/>
    </row>
    <row r="174" s="1" customFormat="true" ht="12.75" hidden="false" customHeight="false" outlineLevel="0" collapsed="false">
      <c r="E174" s="2"/>
      <c r="F174" s="3"/>
      <c r="G174" s="104"/>
      <c r="H174" s="5"/>
      <c r="I174" s="105"/>
      <c r="J174" s="106"/>
      <c r="K174" s="3"/>
      <c r="L174" s="3"/>
      <c r="AA174" s="103"/>
    </row>
    <row r="175" s="1" customFormat="true" ht="12.75" hidden="false" customHeight="false" outlineLevel="0" collapsed="false">
      <c r="E175" s="2"/>
      <c r="F175" s="3"/>
      <c r="G175" s="104"/>
      <c r="H175" s="5"/>
      <c r="I175" s="105"/>
      <c r="J175" s="106"/>
      <c r="K175" s="3"/>
      <c r="L175" s="3"/>
      <c r="AA175" s="103"/>
    </row>
    <row r="176" s="1" customFormat="true" ht="12.75" hidden="false" customHeight="false" outlineLevel="0" collapsed="false">
      <c r="E176" s="2"/>
      <c r="F176" s="3"/>
      <c r="G176" s="104"/>
      <c r="H176" s="5"/>
      <c r="I176" s="105"/>
      <c r="J176" s="106"/>
      <c r="K176" s="3"/>
      <c r="L176" s="3"/>
      <c r="AA176" s="103"/>
    </row>
    <row r="177" s="1" customFormat="true" ht="12.75" hidden="false" customHeight="false" outlineLevel="0" collapsed="false">
      <c r="E177" s="2"/>
      <c r="F177" s="3"/>
      <c r="G177" s="104"/>
      <c r="H177" s="5"/>
      <c r="I177" s="105"/>
      <c r="J177" s="106"/>
      <c r="K177" s="3"/>
      <c r="L177" s="3"/>
      <c r="AA177" s="103"/>
    </row>
    <row r="178" s="1" customFormat="true" ht="12.75" hidden="false" customHeight="false" outlineLevel="0" collapsed="false">
      <c r="E178" s="2"/>
      <c r="F178" s="3"/>
      <c r="G178" s="104"/>
      <c r="H178" s="5"/>
      <c r="I178" s="105"/>
      <c r="J178" s="106"/>
      <c r="K178" s="3"/>
      <c r="L178" s="3"/>
      <c r="AA178" s="103"/>
    </row>
    <row r="179" s="1" customFormat="true" ht="12.75" hidden="false" customHeight="false" outlineLevel="0" collapsed="false">
      <c r="E179" s="2"/>
      <c r="F179" s="3"/>
      <c r="G179" s="104"/>
      <c r="H179" s="5"/>
      <c r="I179" s="105"/>
      <c r="J179" s="106"/>
      <c r="K179" s="3"/>
      <c r="L179" s="3"/>
      <c r="AA179" s="103"/>
    </row>
    <row r="180" s="1" customFormat="true" ht="12.75" hidden="false" customHeight="false" outlineLevel="0" collapsed="false">
      <c r="E180" s="2"/>
      <c r="F180" s="3"/>
      <c r="G180" s="104"/>
      <c r="H180" s="5"/>
      <c r="I180" s="105"/>
      <c r="J180" s="106"/>
      <c r="K180" s="3"/>
      <c r="L180" s="3"/>
      <c r="AA180" s="103"/>
    </row>
    <row r="181" s="1" customFormat="true" ht="12.75" hidden="false" customHeight="false" outlineLevel="0" collapsed="false">
      <c r="E181" s="2"/>
      <c r="F181" s="3"/>
      <c r="G181" s="104"/>
      <c r="H181" s="5"/>
      <c r="I181" s="105"/>
      <c r="J181" s="106"/>
      <c r="K181" s="3"/>
      <c r="L181" s="3"/>
      <c r="AA181" s="103"/>
    </row>
    <row r="182" s="1" customFormat="true" ht="12.75" hidden="false" customHeight="false" outlineLevel="0" collapsed="false">
      <c r="E182" s="2"/>
      <c r="F182" s="3"/>
      <c r="G182" s="104"/>
      <c r="H182" s="5"/>
      <c r="I182" s="105"/>
      <c r="J182" s="106"/>
      <c r="K182" s="3"/>
      <c r="L182" s="3"/>
      <c r="AA182" s="103"/>
    </row>
    <row r="183" s="1" customFormat="true" ht="12.75" hidden="false" customHeight="false" outlineLevel="0" collapsed="false">
      <c r="E183" s="2"/>
      <c r="F183" s="3"/>
      <c r="G183" s="104"/>
      <c r="H183" s="5"/>
      <c r="I183" s="105"/>
      <c r="J183" s="106"/>
      <c r="K183" s="3"/>
      <c r="L183" s="3"/>
      <c r="AA183" s="103"/>
    </row>
    <row r="184" s="1" customFormat="true" ht="12.75" hidden="false" customHeight="false" outlineLevel="0" collapsed="false">
      <c r="E184" s="2"/>
      <c r="F184" s="3"/>
      <c r="G184" s="104"/>
      <c r="H184" s="5"/>
      <c r="I184" s="105"/>
      <c r="J184" s="106"/>
      <c r="K184" s="3"/>
      <c r="L184" s="3"/>
      <c r="AA184" s="103"/>
    </row>
    <row r="185" s="1" customFormat="true" ht="12.75" hidden="false" customHeight="false" outlineLevel="0" collapsed="false">
      <c r="E185" s="2"/>
      <c r="F185" s="3"/>
      <c r="G185" s="104"/>
      <c r="H185" s="5"/>
      <c r="I185" s="105"/>
      <c r="J185" s="106"/>
      <c r="K185" s="3"/>
      <c r="L185" s="3"/>
      <c r="AA185" s="103"/>
    </row>
    <row r="186" s="1" customFormat="true" ht="12.75" hidden="false" customHeight="false" outlineLevel="0" collapsed="false">
      <c r="E186" s="2"/>
      <c r="F186" s="3"/>
      <c r="G186" s="104"/>
      <c r="H186" s="5"/>
      <c r="I186" s="105"/>
      <c r="J186" s="106"/>
      <c r="K186" s="3"/>
      <c r="L186" s="3"/>
      <c r="AA186" s="103"/>
    </row>
    <row r="187" s="1" customFormat="true" ht="12.75" hidden="false" customHeight="false" outlineLevel="0" collapsed="false">
      <c r="E187" s="2"/>
      <c r="F187" s="3"/>
      <c r="G187" s="104"/>
      <c r="H187" s="5"/>
      <c r="I187" s="105"/>
      <c r="J187" s="106"/>
      <c r="K187" s="3"/>
      <c r="L187" s="3"/>
      <c r="AA187" s="103"/>
    </row>
    <row r="188" s="1" customFormat="true" ht="12.75" hidden="false" customHeight="false" outlineLevel="0" collapsed="false">
      <c r="E188" s="2"/>
      <c r="F188" s="3"/>
      <c r="G188" s="104"/>
      <c r="H188" s="5"/>
      <c r="I188" s="105"/>
      <c r="J188" s="106"/>
      <c r="K188" s="3"/>
      <c r="L188" s="3"/>
      <c r="AA188" s="103"/>
    </row>
    <row r="189" s="1" customFormat="true" ht="12.75" hidden="false" customHeight="false" outlineLevel="0" collapsed="false">
      <c r="E189" s="2"/>
      <c r="F189" s="3"/>
      <c r="G189" s="104"/>
      <c r="H189" s="5"/>
      <c r="I189" s="105"/>
      <c r="J189" s="106"/>
      <c r="K189" s="3"/>
      <c r="L189" s="3"/>
      <c r="AA189" s="103"/>
    </row>
    <row r="190" s="1" customFormat="true" ht="12.75" hidden="false" customHeight="false" outlineLevel="0" collapsed="false">
      <c r="E190" s="2"/>
      <c r="F190" s="3"/>
      <c r="G190" s="104"/>
      <c r="H190" s="5"/>
      <c r="I190" s="105"/>
      <c r="J190" s="106"/>
      <c r="K190" s="3"/>
      <c r="L190" s="3"/>
      <c r="AA190" s="103"/>
    </row>
    <row r="191" s="1" customFormat="true" ht="12.75" hidden="false" customHeight="false" outlineLevel="0" collapsed="false">
      <c r="E191" s="2"/>
      <c r="F191" s="3"/>
      <c r="G191" s="104"/>
      <c r="H191" s="5"/>
      <c r="I191" s="105"/>
      <c r="J191" s="106"/>
      <c r="K191" s="3"/>
      <c r="L191" s="3"/>
      <c r="AA191" s="103"/>
    </row>
    <row r="192" s="1" customFormat="true" ht="12.75" hidden="false" customHeight="false" outlineLevel="0" collapsed="false">
      <c r="E192" s="2"/>
      <c r="F192" s="3"/>
      <c r="G192" s="104"/>
      <c r="H192" s="5"/>
      <c r="I192" s="105"/>
      <c r="J192" s="106"/>
      <c r="K192" s="3"/>
      <c r="L192" s="3"/>
      <c r="AA192" s="103"/>
    </row>
    <row r="193" s="1" customFormat="true" ht="12.75" hidden="false" customHeight="false" outlineLevel="0" collapsed="false">
      <c r="E193" s="2"/>
      <c r="F193" s="3"/>
      <c r="G193" s="104"/>
      <c r="H193" s="5"/>
      <c r="I193" s="105"/>
      <c r="J193" s="106"/>
      <c r="K193" s="3"/>
      <c r="L193" s="3"/>
      <c r="AA193" s="103"/>
    </row>
    <row r="194" s="1" customFormat="true" ht="12.75" hidden="false" customHeight="false" outlineLevel="0" collapsed="false">
      <c r="E194" s="2"/>
      <c r="F194" s="3"/>
      <c r="G194" s="104"/>
      <c r="H194" s="5"/>
      <c r="I194" s="105"/>
      <c r="J194" s="106"/>
      <c r="K194" s="3"/>
      <c r="L194" s="3"/>
      <c r="AA194" s="103"/>
    </row>
    <row r="195" s="1" customFormat="true" ht="12.75" hidden="false" customHeight="false" outlineLevel="0" collapsed="false">
      <c r="E195" s="2"/>
      <c r="F195" s="3"/>
      <c r="G195" s="104"/>
      <c r="H195" s="5"/>
      <c r="I195" s="105"/>
      <c r="J195" s="106"/>
      <c r="K195" s="3"/>
      <c r="L195" s="3"/>
      <c r="AA195" s="103"/>
    </row>
    <row r="196" s="1" customFormat="true" ht="12.75" hidden="false" customHeight="false" outlineLevel="0" collapsed="false">
      <c r="E196" s="2"/>
      <c r="F196" s="3"/>
      <c r="G196" s="104"/>
      <c r="H196" s="5"/>
      <c r="I196" s="105"/>
      <c r="J196" s="106"/>
      <c r="K196" s="3"/>
      <c r="L196" s="3"/>
      <c r="AA196" s="103"/>
    </row>
    <row r="197" s="1" customFormat="true" ht="12.75" hidden="false" customHeight="false" outlineLevel="0" collapsed="false">
      <c r="E197" s="2"/>
      <c r="F197" s="3"/>
      <c r="G197" s="104"/>
      <c r="H197" s="5"/>
      <c r="I197" s="105"/>
      <c r="J197" s="106"/>
      <c r="K197" s="3"/>
      <c r="L197" s="3"/>
      <c r="AA197" s="103"/>
    </row>
    <row r="198" s="1" customFormat="true" ht="12.75" hidden="false" customHeight="false" outlineLevel="0" collapsed="false">
      <c r="E198" s="2"/>
      <c r="F198" s="3"/>
      <c r="G198" s="104"/>
      <c r="H198" s="5"/>
      <c r="I198" s="105"/>
      <c r="J198" s="106"/>
      <c r="K198" s="3"/>
      <c r="L198" s="3"/>
      <c r="AA198" s="103"/>
    </row>
    <row r="199" s="1" customFormat="true" ht="12.75" hidden="false" customHeight="false" outlineLevel="0" collapsed="false">
      <c r="E199" s="2"/>
      <c r="F199" s="3"/>
      <c r="G199" s="104"/>
      <c r="H199" s="5"/>
      <c r="I199" s="105"/>
      <c r="J199" s="106"/>
      <c r="K199" s="3"/>
      <c r="L199" s="3"/>
      <c r="AA199" s="103"/>
    </row>
    <row r="200" s="1" customFormat="true" ht="12.75" hidden="false" customHeight="false" outlineLevel="0" collapsed="false">
      <c r="E200" s="2"/>
      <c r="F200" s="3"/>
      <c r="G200" s="104"/>
      <c r="H200" s="5"/>
      <c r="I200" s="105"/>
      <c r="J200" s="106"/>
      <c r="K200" s="3"/>
      <c r="L200" s="3"/>
      <c r="AA200" s="103"/>
    </row>
    <row r="201" s="1" customFormat="true" ht="12.75" hidden="false" customHeight="false" outlineLevel="0" collapsed="false">
      <c r="E201" s="2"/>
      <c r="F201" s="3"/>
      <c r="G201" s="104"/>
      <c r="H201" s="5"/>
      <c r="I201" s="105"/>
      <c r="J201" s="106"/>
      <c r="K201" s="3"/>
      <c r="L201" s="3"/>
      <c r="AA201" s="103"/>
    </row>
    <row r="202" s="1" customFormat="true" ht="12.75" hidden="false" customHeight="false" outlineLevel="0" collapsed="false">
      <c r="E202" s="2"/>
      <c r="F202" s="3"/>
      <c r="G202" s="104"/>
      <c r="H202" s="5"/>
      <c r="I202" s="105"/>
      <c r="J202" s="106"/>
      <c r="K202" s="3"/>
      <c r="L202" s="3"/>
      <c r="AA202" s="103"/>
    </row>
    <row r="203" s="1" customFormat="true" ht="12.75" hidden="false" customHeight="false" outlineLevel="0" collapsed="false">
      <c r="E203" s="2"/>
      <c r="F203" s="3"/>
      <c r="G203" s="104"/>
      <c r="H203" s="5"/>
      <c r="I203" s="105"/>
      <c r="J203" s="106"/>
      <c r="K203" s="3"/>
      <c r="L203" s="3"/>
      <c r="AA203" s="103"/>
    </row>
    <row r="204" s="1" customFormat="true" ht="12.75" hidden="false" customHeight="false" outlineLevel="0" collapsed="false">
      <c r="E204" s="2"/>
      <c r="F204" s="3"/>
      <c r="G204" s="104"/>
      <c r="H204" s="5"/>
      <c r="I204" s="105"/>
      <c r="J204" s="106"/>
      <c r="K204" s="3"/>
      <c r="L204" s="3"/>
      <c r="AA204" s="103"/>
    </row>
    <row r="205" s="1" customFormat="true" ht="12.75" hidden="false" customHeight="false" outlineLevel="0" collapsed="false">
      <c r="E205" s="2"/>
      <c r="F205" s="3"/>
      <c r="G205" s="104"/>
      <c r="H205" s="5"/>
      <c r="I205" s="105"/>
      <c r="J205" s="106"/>
      <c r="K205" s="3"/>
      <c r="L205" s="3"/>
      <c r="AA205" s="103"/>
    </row>
    <row r="206" s="1" customFormat="true" ht="12.75" hidden="false" customHeight="false" outlineLevel="0" collapsed="false">
      <c r="E206" s="2"/>
      <c r="F206" s="3"/>
      <c r="G206" s="104"/>
      <c r="H206" s="5"/>
      <c r="I206" s="105"/>
      <c r="J206" s="106"/>
      <c r="K206" s="3"/>
      <c r="L206" s="3"/>
      <c r="AA206" s="103"/>
    </row>
    <row r="207" s="1" customFormat="true" ht="12.75" hidden="false" customHeight="false" outlineLevel="0" collapsed="false">
      <c r="E207" s="2"/>
      <c r="F207" s="3"/>
      <c r="G207" s="104"/>
      <c r="H207" s="5"/>
      <c r="I207" s="105"/>
      <c r="J207" s="106"/>
      <c r="K207" s="3"/>
      <c r="L207" s="3"/>
      <c r="AA207" s="103"/>
    </row>
    <row r="208" s="1" customFormat="true" ht="12.75" hidden="false" customHeight="false" outlineLevel="0" collapsed="false">
      <c r="E208" s="2"/>
      <c r="F208" s="3"/>
      <c r="G208" s="104"/>
      <c r="H208" s="5"/>
      <c r="I208" s="105"/>
      <c r="J208" s="106"/>
      <c r="K208" s="3"/>
      <c r="L208" s="3"/>
      <c r="AA208" s="103"/>
    </row>
    <row r="209" s="1" customFormat="true" ht="12.75" hidden="false" customHeight="false" outlineLevel="0" collapsed="false">
      <c r="E209" s="2"/>
      <c r="F209" s="3"/>
      <c r="G209" s="104"/>
      <c r="H209" s="5"/>
      <c r="I209" s="105"/>
      <c r="J209" s="106"/>
      <c r="K209" s="3"/>
      <c r="L209" s="3"/>
      <c r="AA209" s="103"/>
    </row>
    <row r="210" s="1" customFormat="true" ht="12.75" hidden="false" customHeight="false" outlineLevel="0" collapsed="false">
      <c r="E210" s="2"/>
      <c r="F210" s="3"/>
      <c r="G210" s="104"/>
      <c r="H210" s="5"/>
      <c r="I210" s="105"/>
      <c r="J210" s="106"/>
      <c r="K210" s="3"/>
      <c r="L210" s="3"/>
      <c r="AA210" s="103"/>
    </row>
    <row r="211" s="1" customFormat="true" ht="12.75" hidden="false" customHeight="false" outlineLevel="0" collapsed="false">
      <c r="E211" s="2"/>
      <c r="F211" s="3"/>
      <c r="G211" s="104"/>
      <c r="H211" s="5"/>
      <c r="I211" s="105"/>
      <c r="J211" s="106"/>
      <c r="K211" s="3"/>
      <c r="L211" s="3"/>
      <c r="AA211" s="103"/>
    </row>
    <row r="212" s="1" customFormat="true" ht="12.75" hidden="false" customHeight="false" outlineLevel="0" collapsed="false">
      <c r="E212" s="2"/>
      <c r="F212" s="3"/>
      <c r="G212" s="104"/>
      <c r="H212" s="5"/>
      <c r="I212" s="105"/>
      <c r="J212" s="106"/>
      <c r="K212" s="3"/>
      <c r="L212" s="3"/>
      <c r="AA212" s="103"/>
    </row>
    <row r="213" s="1" customFormat="true" ht="12.75" hidden="false" customHeight="false" outlineLevel="0" collapsed="false">
      <c r="E213" s="2"/>
      <c r="F213" s="3"/>
      <c r="G213" s="104"/>
      <c r="H213" s="5"/>
      <c r="I213" s="105"/>
      <c r="J213" s="106"/>
      <c r="K213" s="3"/>
      <c r="L213" s="3"/>
      <c r="AA213" s="103"/>
    </row>
    <row r="214" s="1" customFormat="true" ht="12.75" hidden="false" customHeight="false" outlineLevel="0" collapsed="false">
      <c r="E214" s="2"/>
      <c r="F214" s="3"/>
      <c r="G214" s="104"/>
      <c r="H214" s="5"/>
      <c r="I214" s="105"/>
      <c r="J214" s="106"/>
      <c r="K214" s="3"/>
      <c r="L214" s="3"/>
      <c r="AA214" s="103"/>
    </row>
    <row r="215" s="1" customFormat="true" ht="12.75" hidden="false" customHeight="false" outlineLevel="0" collapsed="false">
      <c r="E215" s="2"/>
      <c r="F215" s="3"/>
      <c r="G215" s="104"/>
      <c r="H215" s="5"/>
      <c r="I215" s="105"/>
      <c r="J215" s="106"/>
      <c r="K215" s="3"/>
      <c r="L215" s="3"/>
      <c r="AA215" s="103"/>
    </row>
    <row r="216" s="1" customFormat="true" ht="12.75" hidden="false" customHeight="false" outlineLevel="0" collapsed="false">
      <c r="E216" s="2"/>
      <c r="F216" s="3"/>
      <c r="G216" s="104"/>
      <c r="H216" s="5"/>
      <c r="I216" s="105"/>
      <c r="J216" s="106"/>
      <c r="K216" s="3"/>
      <c r="L216" s="3"/>
      <c r="AA216" s="103"/>
    </row>
    <row r="217" s="1" customFormat="true" ht="12.75" hidden="false" customHeight="false" outlineLevel="0" collapsed="false">
      <c r="E217" s="2"/>
      <c r="F217" s="3"/>
      <c r="G217" s="104"/>
      <c r="H217" s="5"/>
      <c r="I217" s="105"/>
      <c r="J217" s="106"/>
      <c r="K217" s="3"/>
      <c r="L217" s="3"/>
      <c r="AA217" s="103"/>
    </row>
    <row r="218" s="1" customFormat="true" ht="12.75" hidden="false" customHeight="false" outlineLevel="0" collapsed="false">
      <c r="E218" s="2"/>
      <c r="F218" s="3"/>
      <c r="G218" s="104"/>
      <c r="H218" s="5"/>
      <c r="I218" s="105"/>
      <c r="J218" s="106"/>
      <c r="K218" s="3"/>
      <c r="L218" s="3"/>
      <c r="AA218" s="103"/>
    </row>
    <row r="219" s="1" customFormat="true" ht="12.75" hidden="false" customHeight="false" outlineLevel="0" collapsed="false">
      <c r="E219" s="2"/>
      <c r="F219" s="3"/>
      <c r="G219" s="104"/>
      <c r="H219" s="5"/>
      <c r="I219" s="105"/>
      <c r="J219" s="106"/>
      <c r="K219" s="3"/>
      <c r="L219" s="3"/>
      <c r="AA219" s="103"/>
    </row>
    <row r="220" s="1" customFormat="true" ht="12.75" hidden="false" customHeight="false" outlineLevel="0" collapsed="false">
      <c r="E220" s="2"/>
      <c r="F220" s="3"/>
      <c r="G220" s="104"/>
      <c r="H220" s="5"/>
      <c r="I220" s="105"/>
      <c r="J220" s="106"/>
      <c r="K220" s="3"/>
      <c r="L220" s="3"/>
      <c r="AA220" s="103"/>
    </row>
    <row r="221" s="1" customFormat="true" ht="12.75" hidden="false" customHeight="false" outlineLevel="0" collapsed="false">
      <c r="E221" s="2"/>
      <c r="F221" s="3"/>
      <c r="G221" s="104"/>
      <c r="H221" s="5"/>
      <c r="I221" s="105"/>
      <c r="J221" s="106"/>
      <c r="K221" s="3"/>
      <c r="L221" s="3"/>
      <c r="AA221" s="103"/>
    </row>
    <row r="222" s="1" customFormat="true" ht="12.75" hidden="false" customHeight="false" outlineLevel="0" collapsed="false">
      <c r="E222" s="2"/>
      <c r="F222" s="3"/>
      <c r="G222" s="104"/>
      <c r="H222" s="5"/>
      <c r="I222" s="105"/>
      <c r="J222" s="106"/>
      <c r="K222" s="3"/>
      <c r="L222" s="3"/>
      <c r="AA222" s="103"/>
    </row>
    <row r="223" s="1" customFormat="true" ht="12.75" hidden="false" customHeight="false" outlineLevel="0" collapsed="false">
      <c r="E223" s="2"/>
      <c r="F223" s="3"/>
      <c r="G223" s="104"/>
      <c r="H223" s="5"/>
      <c r="I223" s="105"/>
      <c r="J223" s="106"/>
      <c r="K223" s="3"/>
      <c r="L223" s="3"/>
      <c r="AA223" s="103"/>
    </row>
    <row r="224" s="1" customFormat="true" ht="12.75" hidden="false" customHeight="false" outlineLevel="0" collapsed="false">
      <c r="E224" s="2"/>
      <c r="F224" s="3"/>
      <c r="G224" s="104"/>
      <c r="H224" s="5"/>
      <c r="I224" s="105"/>
      <c r="J224" s="106"/>
      <c r="K224" s="3"/>
      <c r="L224" s="3"/>
      <c r="AA224" s="103"/>
    </row>
    <row r="225" s="1" customFormat="true" ht="12.75" hidden="false" customHeight="false" outlineLevel="0" collapsed="false">
      <c r="E225" s="2"/>
      <c r="F225" s="3"/>
      <c r="G225" s="104"/>
      <c r="H225" s="5"/>
      <c r="I225" s="105"/>
      <c r="J225" s="106"/>
      <c r="K225" s="3"/>
      <c r="L225" s="3"/>
      <c r="AA225" s="103"/>
    </row>
    <row r="226" s="1" customFormat="true" ht="12.75" hidden="false" customHeight="false" outlineLevel="0" collapsed="false">
      <c r="E226" s="2"/>
      <c r="F226" s="3"/>
      <c r="G226" s="104"/>
      <c r="H226" s="5"/>
      <c r="I226" s="105"/>
      <c r="J226" s="106"/>
      <c r="K226" s="3"/>
      <c r="L226" s="3"/>
      <c r="AA226" s="103"/>
    </row>
    <row r="227" s="1" customFormat="true" ht="12.75" hidden="false" customHeight="false" outlineLevel="0" collapsed="false">
      <c r="E227" s="2"/>
      <c r="F227" s="3"/>
      <c r="G227" s="104"/>
      <c r="H227" s="5"/>
      <c r="I227" s="105"/>
      <c r="J227" s="106"/>
      <c r="K227" s="3"/>
      <c r="L227" s="3"/>
      <c r="AA227" s="103"/>
    </row>
    <row r="228" s="1" customFormat="true" ht="12.75" hidden="false" customHeight="false" outlineLevel="0" collapsed="false">
      <c r="E228" s="2"/>
      <c r="F228" s="3"/>
      <c r="G228" s="104"/>
      <c r="H228" s="5"/>
      <c r="I228" s="105"/>
      <c r="J228" s="106"/>
      <c r="K228" s="3"/>
      <c r="L228" s="3"/>
      <c r="AA228" s="103"/>
    </row>
    <row r="229" s="1" customFormat="true" ht="12.75" hidden="false" customHeight="false" outlineLevel="0" collapsed="false">
      <c r="E229" s="2"/>
      <c r="F229" s="3"/>
      <c r="G229" s="104"/>
      <c r="H229" s="5"/>
      <c r="I229" s="105"/>
      <c r="J229" s="106"/>
      <c r="K229" s="3"/>
      <c r="L229" s="3"/>
      <c r="AA229" s="103"/>
    </row>
    <row r="230" s="1" customFormat="true" ht="12.75" hidden="false" customHeight="false" outlineLevel="0" collapsed="false">
      <c r="E230" s="2"/>
      <c r="F230" s="3"/>
      <c r="G230" s="104"/>
      <c r="H230" s="5"/>
      <c r="I230" s="105"/>
      <c r="J230" s="106"/>
      <c r="K230" s="3"/>
      <c r="L230" s="3"/>
      <c r="AA230" s="103"/>
    </row>
    <row r="231" s="1" customFormat="true" ht="12.75" hidden="false" customHeight="false" outlineLevel="0" collapsed="false">
      <c r="E231" s="2"/>
      <c r="F231" s="3"/>
      <c r="G231" s="104"/>
      <c r="H231" s="5"/>
      <c r="I231" s="105"/>
      <c r="J231" s="106"/>
      <c r="K231" s="3"/>
      <c r="L231" s="3"/>
      <c r="AA231" s="103"/>
    </row>
    <row r="232" s="1" customFormat="true" ht="12.75" hidden="false" customHeight="false" outlineLevel="0" collapsed="false">
      <c r="E232" s="2"/>
      <c r="F232" s="3"/>
      <c r="G232" s="104"/>
      <c r="H232" s="5"/>
      <c r="I232" s="105"/>
      <c r="J232" s="106"/>
      <c r="K232" s="3"/>
      <c r="L232" s="3"/>
      <c r="AA232" s="103"/>
    </row>
    <row r="233" s="1" customFormat="true" ht="12.75" hidden="false" customHeight="false" outlineLevel="0" collapsed="false">
      <c r="E233" s="2"/>
      <c r="F233" s="3"/>
      <c r="G233" s="104"/>
      <c r="H233" s="5"/>
      <c r="I233" s="105"/>
      <c r="J233" s="106"/>
      <c r="K233" s="3"/>
      <c r="L233" s="3"/>
      <c r="AA233" s="103"/>
    </row>
    <row r="234" s="1" customFormat="true" ht="12.75" hidden="false" customHeight="false" outlineLevel="0" collapsed="false">
      <c r="E234" s="2"/>
      <c r="F234" s="3"/>
      <c r="G234" s="104"/>
      <c r="H234" s="5"/>
      <c r="I234" s="105"/>
      <c r="J234" s="106"/>
      <c r="K234" s="3"/>
      <c r="L234" s="3"/>
      <c r="AA234" s="103"/>
    </row>
    <row r="235" s="1" customFormat="true" ht="12.75" hidden="false" customHeight="false" outlineLevel="0" collapsed="false">
      <c r="E235" s="2"/>
      <c r="F235" s="3"/>
      <c r="G235" s="104"/>
      <c r="H235" s="5"/>
      <c r="I235" s="105"/>
      <c r="J235" s="106"/>
      <c r="K235" s="3"/>
      <c r="L235" s="3"/>
      <c r="AA235" s="103"/>
    </row>
    <row r="236" s="1" customFormat="true" ht="12.75" hidden="false" customHeight="false" outlineLevel="0" collapsed="false">
      <c r="E236" s="2"/>
      <c r="F236" s="3"/>
      <c r="G236" s="104"/>
      <c r="H236" s="5"/>
      <c r="I236" s="105"/>
      <c r="J236" s="106"/>
      <c r="K236" s="3"/>
      <c r="L236" s="3"/>
      <c r="AA236" s="103"/>
    </row>
    <row r="237" s="1" customFormat="true" ht="12.75" hidden="false" customHeight="false" outlineLevel="0" collapsed="false">
      <c r="E237" s="2"/>
      <c r="F237" s="3"/>
      <c r="G237" s="104"/>
      <c r="H237" s="5"/>
      <c r="I237" s="105"/>
      <c r="J237" s="106"/>
      <c r="K237" s="3"/>
      <c r="L237" s="3"/>
      <c r="AA237" s="103"/>
    </row>
    <row r="238" s="1" customFormat="true" ht="12.75" hidden="false" customHeight="false" outlineLevel="0" collapsed="false">
      <c r="E238" s="2"/>
      <c r="F238" s="3"/>
      <c r="G238" s="104"/>
      <c r="H238" s="5"/>
      <c r="I238" s="105"/>
      <c r="J238" s="106"/>
      <c r="K238" s="3"/>
      <c r="L238" s="3"/>
      <c r="AA238" s="103"/>
    </row>
    <row r="239" s="1" customFormat="true" ht="12.75" hidden="false" customHeight="false" outlineLevel="0" collapsed="false">
      <c r="E239" s="2"/>
      <c r="F239" s="3"/>
      <c r="G239" s="104"/>
      <c r="H239" s="5"/>
      <c r="I239" s="105"/>
      <c r="J239" s="106"/>
      <c r="K239" s="3"/>
      <c r="L239" s="3"/>
      <c r="AA239" s="103"/>
    </row>
    <row r="240" s="1" customFormat="true" ht="12.75" hidden="false" customHeight="false" outlineLevel="0" collapsed="false">
      <c r="E240" s="2"/>
      <c r="F240" s="3"/>
      <c r="G240" s="104"/>
      <c r="H240" s="5"/>
      <c r="I240" s="105"/>
      <c r="J240" s="106"/>
      <c r="K240" s="3"/>
      <c r="L240" s="3"/>
      <c r="AA240" s="103"/>
    </row>
    <row r="241" s="1" customFormat="true" ht="12.75" hidden="false" customHeight="false" outlineLevel="0" collapsed="false">
      <c r="E241" s="2"/>
      <c r="F241" s="3"/>
      <c r="G241" s="104"/>
      <c r="H241" s="5"/>
      <c r="I241" s="105"/>
      <c r="J241" s="106"/>
      <c r="K241" s="3"/>
      <c r="L241" s="3"/>
      <c r="AA241" s="103"/>
    </row>
    <row r="242" s="1" customFormat="true" ht="12.75" hidden="false" customHeight="false" outlineLevel="0" collapsed="false">
      <c r="E242" s="2"/>
      <c r="F242" s="3"/>
      <c r="G242" s="104"/>
      <c r="H242" s="5"/>
      <c r="I242" s="105"/>
      <c r="J242" s="106"/>
      <c r="K242" s="3"/>
      <c r="L242" s="3"/>
      <c r="AA242" s="103"/>
    </row>
    <row r="243" s="1" customFormat="true" ht="12.75" hidden="false" customHeight="false" outlineLevel="0" collapsed="false">
      <c r="E243" s="2"/>
      <c r="F243" s="3"/>
      <c r="G243" s="104"/>
      <c r="H243" s="5"/>
      <c r="I243" s="105"/>
      <c r="J243" s="106"/>
      <c r="K243" s="3"/>
      <c r="L243" s="3"/>
      <c r="AA243" s="103"/>
    </row>
    <row r="244" s="1" customFormat="true" ht="12.75" hidden="false" customHeight="false" outlineLevel="0" collapsed="false">
      <c r="E244" s="2"/>
      <c r="F244" s="3"/>
      <c r="G244" s="104"/>
      <c r="H244" s="5"/>
      <c r="I244" s="105"/>
      <c r="J244" s="106"/>
      <c r="K244" s="3"/>
      <c r="L244" s="3"/>
      <c r="AA244" s="103"/>
    </row>
    <row r="245" s="1" customFormat="true" ht="12.75" hidden="false" customHeight="false" outlineLevel="0" collapsed="false">
      <c r="E245" s="2"/>
      <c r="F245" s="3"/>
      <c r="G245" s="104"/>
      <c r="H245" s="5"/>
      <c r="I245" s="105"/>
      <c r="J245" s="106"/>
      <c r="K245" s="3"/>
      <c r="L245" s="3"/>
      <c r="AA245" s="103"/>
    </row>
    <row r="246" s="1" customFormat="true" ht="12.75" hidden="false" customHeight="false" outlineLevel="0" collapsed="false">
      <c r="E246" s="2"/>
      <c r="F246" s="3"/>
      <c r="G246" s="104"/>
      <c r="H246" s="5"/>
      <c r="I246" s="105"/>
      <c r="J246" s="106"/>
      <c r="K246" s="3"/>
      <c r="L246" s="3"/>
      <c r="AA246" s="103"/>
    </row>
    <row r="247" s="1" customFormat="true" ht="12.75" hidden="false" customHeight="false" outlineLevel="0" collapsed="false">
      <c r="E247" s="2"/>
      <c r="F247" s="3"/>
      <c r="G247" s="104"/>
      <c r="H247" s="5"/>
      <c r="I247" s="105"/>
      <c r="J247" s="106"/>
      <c r="K247" s="3"/>
      <c r="L247" s="3"/>
      <c r="AA247" s="103"/>
    </row>
    <row r="248" s="1" customFormat="true" ht="12.75" hidden="false" customHeight="false" outlineLevel="0" collapsed="false">
      <c r="E248" s="2"/>
      <c r="F248" s="3"/>
      <c r="G248" s="104"/>
      <c r="H248" s="5"/>
      <c r="I248" s="105"/>
      <c r="J248" s="106"/>
      <c r="K248" s="3"/>
      <c r="L248" s="3"/>
      <c r="AA248" s="103"/>
    </row>
    <row r="249" s="1" customFormat="true" ht="12.75" hidden="false" customHeight="false" outlineLevel="0" collapsed="false">
      <c r="E249" s="2"/>
      <c r="F249" s="3"/>
      <c r="G249" s="104"/>
      <c r="H249" s="5"/>
      <c r="I249" s="105"/>
      <c r="J249" s="106"/>
      <c r="K249" s="3"/>
      <c r="L249" s="3"/>
      <c r="AA249" s="103"/>
    </row>
    <row r="250" s="1" customFormat="true" ht="12.75" hidden="false" customHeight="false" outlineLevel="0" collapsed="false">
      <c r="E250" s="2"/>
      <c r="F250" s="3"/>
      <c r="G250" s="104"/>
      <c r="H250" s="5"/>
      <c r="I250" s="105"/>
      <c r="J250" s="106"/>
      <c r="K250" s="3"/>
      <c r="L250" s="3"/>
      <c r="AA250" s="103"/>
    </row>
    <row r="251" s="1" customFormat="true" ht="12.75" hidden="false" customHeight="false" outlineLevel="0" collapsed="false">
      <c r="E251" s="2"/>
      <c r="F251" s="3"/>
      <c r="G251" s="104"/>
      <c r="H251" s="5"/>
      <c r="I251" s="105"/>
      <c r="J251" s="106"/>
      <c r="K251" s="3"/>
      <c r="L251" s="3"/>
      <c r="AA251" s="103"/>
    </row>
    <row r="252" s="1" customFormat="true" ht="12.75" hidden="false" customHeight="false" outlineLevel="0" collapsed="false">
      <c r="E252" s="2"/>
      <c r="F252" s="3"/>
      <c r="G252" s="104"/>
      <c r="H252" s="5"/>
      <c r="I252" s="105"/>
      <c r="J252" s="106"/>
      <c r="K252" s="3"/>
      <c r="L252" s="3"/>
      <c r="AA252" s="103"/>
    </row>
    <row r="253" s="1" customFormat="true" ht="12.75" hidden="false" customHeight="false" outlineLevel="0" collapsed="false">
      <c r="E253" s="2"/>
      <c r="F253" s="3"/>
      <c r="G253" s="104"/>
      <c r="H253" s="5"/>
      <c r="I253" s="105"/>
      <c r="J253" s="106"/>
      <c r="K253" s="3"/>
      <c r="L253" s="3"/>
      <c r="AA253" s="103"/>
    </row>
    <row r="254" s="1" customFormat="true" ht="12.75" hidden="false" customHeight="false" outlineLevel="0" collapsed="false">
      <c r="E254" s="2"/>
      <c r="F254" s="3"/>
      <c r="G254" s="104"/>
      <c r="H254" s="5"/>
      <c r="I254" s="105"/>
      <c r="J254" s="106"/>
      <c r="K254" s="3"/>
      <c r="L254" s="3"/>
      <c r="AA254" s="103"/>
    </row>
    <row r="255" s="1" customFormat="true" ht="12.75" hidden="false" customHeight="false" outlineLevel="0" collapsed="false">
      <c r="E255" s="2"/>
      <c r="F255" s="3"/>
      <c r="G255" s="104"/>
      <c r="H255" s="5"/>
      <c r="I255" s="105"/>
      <c r="J255" s="106"/>
      <c r="K255" s="3"/>
      <c r="L255" s="3"/>
      <c r="AA255" s="103"/>
    </row>
    <row r="256" s="1" customFormat="true" ht="12.75" hidden="false" customHeight="false" outlineLevel="0" collapsed="false">
      <c r="E256" s="2"/>
      <c r="F256" s="3"/>
      <c r="G256" s="104"/>
      <c r="H256" s="5"/>
      <c r="I256" s="105"/>
      <c r="J256" s="106"/>
      <c r="K256" s="3"/>
      <c r="L256" s="3"/>
      <c r="AA256" s="103"/>
    </row>
    <row r="257" s="1" customFormat="true" ht="12.75" hidden="false" customHeight="false" outlineLevel="0" collapsed="false">
      <c r="E257" s="2"/>
      <c r="F257" s="3"/>
      <c r="G257" s="104"/>
      <c r="H257" s="5"/>
      <c r="I257" s="105"/>
      <c r="J257" s="106"/>
      <c r="K257" s="3"/>
      <c r="L257" s="3"/>
      <c r="AA257" s="103"/>
    </row>
    <row r="258" s="1" customFormat="true" ht="12.75" hidden="false" customHeight="false" outlineLevel="0" collapsed="false">
      <c r="E258" s="2"/>
      <c r="F258" s="3"/>
      <c r="G258" s="104"/>
      <c r="H258" s="5"/>
      <c r="I258" s="105"/>
      <c r="J258" s="106"/>
      <c r="K258" s="3"/>
      <c r="L258" s="3"/>
      <c r="AA258" s="103"/>
    </row>
    <row r="259" s="1" customFormat="true" ht="12.75" hidden="false" customHeight="false" outlineLevel="0" collapsed="false">
      <c r="E259" s="2"/>
      <c r="F259" s="3"/>
      <c r="G259" s="104"/>
      <c r="H259" s="5"/>
      <c r="I259" s="105"/>
      <c r="J259" s="106"/>
      <c r="K259" s="3"/>
      <c r="L259" s="3"/>
      <c r="AA259" s="103"/>
    </row>
    <row r="260" s="1" customFormat="true" ht="12.75" hidden="false" customHeight="false" outlineLevel="0" collapsed="false">
      <c r="E260" s="2"/>
      <c r="F260" s="3"/>
      <c r="G260" s="104"/>
      <c r="H260" s="5"/>
      <c r="I260" s="105"/>
      <c r="J260" s="106"/>
      <c r="K260" s="3"/>
      <c r="L260" s="3"/>
      <c r="AA260" s="103"/>
    </row>
    <row r="261" s="1" customFormat="true" ht="12.75" hidden="false" customHeight="false" outlineLevel="0" collapsed="false">
      <c r="E261" s="2"/>
      <c r="F261" s="3"/>
      <c r="G261" s="104"/>
      <c r="H261" s="5"/>
      <c r="I261" s="105"/>
      <c r="J261" s="106"/>
      <c r="K261" s="3"/>
      <c r="L261" s="3"/>
      <c r="AA261" s="103"/>
    </row>
    <row r="262" s="1" customFormat="true" ht="12.75" hidden="false" customHeight="false" outlineLevel="0" collapsed="false">
      <c r="E262" s="2"/>
      <c r="F262" s="3"/>
      <c r="G262" s="104"/>
      <c r="H262" s="5"/>
      <c r="I262" s="105"/>
      <c r="J262" s="106"/>
      <c r="K262" s="3"/>
      <c r="L262" s="3"/>
      <c r="AA262" s="103"/>
    </row>
    <row r="263" s="1" customFormat="true" ht="12.75" hidden="false" customHeight="false" outlineLevel="0" collapsed="false">
      <c r="E263" s="2"/>
      <c r="F263" s="3"/>
      <c r="G263" s="104"/>
      <c r="H263" s="5"/>
      <c r="I263" s="105"/>
      <c r="J263" s="106"/>
      <c r="K263" s="3"/>
      <c r="L263" s="3"/>
      <c r="AA263" s="103"/>
    </row>
    <row r="264" s="1" customFormat="true" ht="12.75" hidden="false" customHeight="false" outlineLevel="0" collapsed="false">
      <c r="E264" s="2"/>
      <c r="F264" s="3"/>
      <c r="G264" s="104"/>
      <c r="H264" s="5"/>
      <c r="I264" s="105"/>
      <c r="J264" s="106"/>
      <c r="K264" s="3"/>
      <c r="L264" s="3"/>
      <c r="AA264" s="103"/>
    </row>
    <row r="265" s="1" customFormat="true" ht="12.75" hidden="false" customHeight="false" outlineLevel="0" collapsed="false">
      <c r="E265" s="2"/>
      <c r="F265" s="3"/>
      <c r="G265" s="104"/>
      <c r="H265" s="5"/>
      <c r="I265" s="105"/>
      <c r="J265" s="106"/>
      <c r="K265" s="3"/>
      <c r="L265" s="3"/>
      <c r="AA265" s="103"/>
    </row>
    <row r="266" s="1" customFormat="true" ht="12.75" hidden="false" customHeight="false" outlineLevel="0" collapsed="false">
      <c r="E266" s="2"/>
      <c r="F266" s="3"/>
      <c r="G266" s="104"/>
      <c r="H266" s="5"/>
      <c r="I266" s="105"/>
      <c r="J266" s="106"/>
      <c r="K266" s="3"/>
      <c r="L266" s="3"/>
      <c r="AA266" s="103"/>
    </row>
    <row r="267" s="1" customFormat="true" ht="12.75" hidden="false" customHeight="false" outlineLevel="0" collapsed="false">
      <c r="E267" s="2"/>
      <c r="F267" s="3"/>
      <c r="G267" s="104"/>
      <c r="H267" s="5"/>
      <c r="I267" s="105"/>
      <c r="J267" s="106"/>
      <c r="K267" s="3"/>
      <c r="L267" s="3"/>
      <c r="AA267" s="103"/>
    </row>
    <row r="268" s="1" customFormat="true" ht="12.75" hidden="false" customHeight="false" outlineLevel="0" collapsed="false">
      <c r="E268" s="2"/>
      <c r="F268" s="3"/>
      <c r="G268" s="104"/>
      <c r="H268" s="5"/>
      <c r="I268" s="105"/>
      <c r="J268" s="106"/>
      <c r="K268" s="3"/>
      <c r="L268" s="3"/>
      <c r="AA268" s="103"/>
    </row>
    <row r="269" s="1" customFormat="true" ht="12.75" hidden="false" customHeight="false" outlineLevel="0" collapsed="false">
      <c r="E269" s="2"/>
      <c r="F269" s="3"/>
      <c r="G269" s="104"/>
      <c r="H269" s="5"/>
      <c r="I269" s="105"/>
      <c r="J269" s="106"/>
      <c r="K269" s="3"/>
      <c r="L269" s="3"/>
      <c r="AA269" s="103"/>
    </row>
    <row r="270" s="1" customFormat="true" ht="12.75" hidden="false" customHeight="false" outlineLevel="0" collapsed="false">
      <c r="E270" s="2"/>
      <c r="F270" s="3"/>
      <c r="G270" s="104"/>
      <c r="H270" s="5"/>
      <c r="I270" s="105"/>
      <c r="J270" s="106"/>
      <c r="K270" s="3"/>
      <c r="L270" s="3"/>
      <c r="AA270" s="103"/>
    </row>
    <row r="271" s="1" customFormat="true" ht="12.75" hidden="false" customHeight="false" outlineLevel="0" collapsed="false">
      <c r="E271" s="2"/>
      <c r="F271" s="3"/>
      <c r="G271" s="104"/>
      <c r="H271" s="5"/>
      <c r="I271" s="105"/>
      <c r="J271" s="106"/>
      <c r="K271" s="3"/>
      <c r="L271" s="3"/>
      <c r="AA271" s="103"/>
    </row>
    <row r="272" s="1" customFormat="true" ht="12.75" hidden="false" customHeight="false" outlineLevel="0" collapsed="false">
      <c r="E272" s="2"/>
      <c r="F272" s="3"/>
      <c r="G272" s="104"/>
      <c r="H272" s="5"/>
      <c r="I272" s="105"/>
      <c r="J272" s="106"/>
      <c r="K272" s="3"/>
      <c r="L272" s="3"/>
      <c r="AA272" s="103"/>
    </row>
    <row r="273" customFormat="false" ht="12.75" hidden="false" customHeight="false" outlineLevel="0" collapsed="false">
      <c r="E273" s="2"/>
      <c r="F273" s="3"/>
      <c r="G273" s="104"/>
    </row>
    <row r="274" customFormat="false" ht="12.75" hidden="false" customHeight="false" outlineLevel="0" collapsed="false">
      <c r="E274" s="2"/>
      <c r="F274" s="3"/>
      <c r="G274" s="104"/>
    </row>
    <row r="275" customFormat="false" ht="12.75" hidden="false" customHeight="false" outlineLevel="0" collapsed="false">
      <c r="E275" s="2"/>
      <c r="F275" s="3"/>
      <c r="G275" s="104"/>
    </row>
    <row r="276" customFormat="false" ht="12.75" hidden="false" customHeight="false" outlineLevel="0" collapsed="false">
      <c r="E276" s="2"/>
      <c r="F276" s="3"/>
      <c r="G276" s="104"/>
    </row>
    <row r="277" customFormat="false" ht="12.75" hidden="false" customHeight="false" outlineLevel="0" collapsed="false">
      <c r="E277" s="2"/>
      <c r="F277" s="3"/>
      <c r="G277" s="104"/>
    </row>
    <row r="278" customFormat="false" ht="12.75" hidden="false" customHeight="false" outlineLevel="0" collapsed="false">
      <c r="E278" s="2"/>
      <c r="F278" s="3"/>
      <c r="G278" s="104"/>
    </row>
    <row r="279" customFormat="false" ht="12.75" hidden="false" customHeight="false" outlineLevel="0" collapsed="false">
      <c r="E279" s="2"/>
      <c r="F279" s="3"/>
      <c r="G279" s="104"/>
    </row>
    <row r="280" customFormat="false" ht="12.75" hidden="false" customHeight="false" outlineLevel="0" collapsed="false">
      <c r="E280" s="2"/>
      <c r="F280" s="3"/>
      <c r="G280" s="104"/>
    </row>
    <row r="281" customFormat="false" ht="12.75" hidden="false" customHeight="false" outlineLevel="0" collapsed="false">
      <c r="E281" s="2"/>
      <c r="F281" s="3"/>
      <c r="G281" s="104"/>
    </row>
    <row r="282" customFormat="false" ht="12.75" hidden="false" customHeight="false" outlineLevel="0" collapsed="false">
      <c r="E282" s="2"/>
      <c r="F282" s="3"/>
      <c r="G282" s="104"/>
    </row>
    <row r="283" customFormat="false" ht="12.75" hidden="false" customHeight="false" outlineLevel="0" collapsed="false">
      <c r="E283" s="2"/>
      <c r="F283" s="3"/>
      <c r="G283" s="104"/>
    </row>
    <row r="284" customFormat="false" ht="12.75" hidden="false" customHeight="false" outlineLevel="0" collapsed="false">
      <c r="E284" s="2"/>
      <c r="F284" s="3"/>
      <c r="G284" s="104"/>
    </row>
    <row r="285" customFormat="false" ht="12.75" hidden="false" customHeight="false" outlineLevel="0" collapsed="false">
      <c r="E285" s="2"/>
      <c r="F285" s="3"/>
      <c r="G285" s="104"/>
    </row>
    <row r="286" customFormat="false" ht="12.75" hidden="false" customHeight="false" outlineLevel="0" collapsed="false">
      <c r="E286" s="2"/>
      <c r="F286" s="3"/>
      <c r="G286" s="104"/>
    </row>
    <row r="287" customFormat="false" ht="12.75" hidden="false" customHeight="false" outlineLevel="0" collapsed="false">
      <c r="E287" s="2"/>
      <c r="F287" s="3"/>
      <c r="G287" s="104"/>
    </row>
    <row r="288" customFormat="false" ht="12.75" hidden="false" customHeight="false" outlineLevel="0" collapsed="false">
      <c r="E288" s="2"/>
      <c r="F288" s="3"/>
      <c r="G288" s="104"/>
    </row>
    <row r="289" customFormat="false" ht="12.75" hidden="false" customHeight="false" outlineLevel="0" collapsed="false">
      <c r="E289" s="2"/>
      <c r="F289" s="3"/>
      <c r="G289" s="104"/>
    </row>
    <row r="290" customFormat="false" ht="12.75" hidden="false" customHeight="false" outlineLevel="0" collapsed="false">
      <c r="E290" s="2"/>
      <c r="F290" s="3"/>
      <c r="G290" s="104"/>
    </row>
    <row r="291" customFormat="false" ht="12.75" hidden="false" customHeight="false" outlineLevel="0" collapsed="false">
      <c r="E291" s="2"/>
      <c r="F291" s="3"/>
      <c r="G291" s="104"/>
    </row>
    <row r="292" customFormat="false" ht="12.75" hidden="false" customHeight="false" outlineLevel="0" collapsed="false">
      <c r="E292" s="2"/>
      <c r="F292" s="3"/>
      <c r="G292" s="104"/>
    </row>
    <row r="293" customFormat="false" ht="12.75" hidden="false" customHeight="false" outlineLevel="0" collapsed="false">
      <c r="E293" s="2"/>
      <c r="F293" s="3"/>
      <c r="G293" s="104"/>
    </row>
    <row r="294" customFormat="false" ht="12.75" hidden="false" customHeight="false" outlineLevel="0" collapsed="false">
      <c r="E294" s="2"/>
      <c r="F294" s="3"/>
      <c r="G294" s="104"/>
    </row>
    <row r="295" customFormat="false" ht="12.75" hidden="false" customHeight="false" outlineLevel="0" collapsed="false">
      <c r="E295" s="2"/>
      <c r="F295" s="3"/>
      <c r="G295" s="104"/>
    </row>
    <row r="296" customFormat="false" ht="12.75" hidden="false" customHeight="false" outlineLevel="0" collapsed="false">
      <c r="E296" s="2"/>
      <c r="F296" s="3"/>
      <c r="G296" s="104"/>
    </row>
    <row r="297" customFormat="false" ht="12.75" hidden="false" customHeight="false" outlineLevel="0" collapsed="false">
      <c r="E297" s="2"/>
      <c r="F297" s="3"/>
      <c r="G297" s="104"/>
    </row>
    <row r="298" customFormat="false" ht="12.75" hidden="false" customHeight="false" outlineLevel="0" collapsed="false">
      <c r="E298" s="2"/>
      <c r="F298" s="3"/>
      <c r="G298" s="104"/>
    </row>
    <row r="299" customFormat="false" ht="12.75" hidden="false" customHeight="false" outlineLevel="0" collapsed="false">
      <c r="E299" s="2"/>
      <c r="F299" s="3"/>
      <c r="G299" s="104"/>
    </row>
    <row r="300" customFormat="false" ht="12.75" hidden="false" customHeight="false" outlineLevel="0" collapsed="false">
      <c r="E300" s="2"/>
      <c r="F300" s="3"/>
      <c r="G300" s="104"/>
    </row>
    <row r="301" customFormat="false" ht="12.75" hidden="false" customHeight="false" outlineLevel="0" collapsed="false">
      <c r="E301" s="2"/>
      <c r="F301" s="3"/>
      <c r="G301" s="104"/>
    </row>
    <row r="302" customFormat="false" ht="12.75" hidden="false" customHeight="false" outlineLevel="0" collapsed="false">
      <c r="E302" s="2"/>
      <c r="F302" s="3"/>
      <c r="G302" s="104"/>
    </row>
    <row r="303" customFormat="false" ht="12.75" hidden="false" customHeight="false" outlineLevel="0" collapsed="false">
      <c r="E303" s="2"/>
      <c r="F303" s="3"/>
      <c r="G303" s="104"/>
    </row>
    <row r="304" customFormat="false" ht="12.75" hidden="false" customHeight="false" outlineLevel="0" collapsed="false">
      <c r="E304" s="2"/>
      <c r="F304" s="3"/>
      <c r="G304" s="104"/>
    </row>
    <row r="305" customFormat="false" ht="12.75" hidden="false" customHeight="false" outlineLevel="0" collapsed="false">
      <c r="E305" s="2"/>
      <c r="F305" s="3"/>
      <c r="G305" s="104"/>
    </row>
    <row r="306" customFormat="false" ht="12.75" hidden="false" customHeight="false" outlineLevel="0" collapsed="false">
      <c r="E306" s="2"/>
      <c r="F306" s="3"/>
      <c r="G306" s="104"/>
    </row>
    <row r="307" customFormat="false" ht="12.75" hidden="false" customHeight="false" outlineLevel="0" collapsed="false">
      <c r="E307" s="2"/>
      <c r="F307" s="3"/>
      <c r="G307" s="104"/>
    </row>
    <row r="308" customFormat="false" ht="12.75" hidden="false" customHeight="false" outlineLevel="0" collapsed="false">
      <c r="E308" s="2"/>
      <c r="F308" s="3"/>
      <c r="G308" s="104"/>
    </row>
    <row r="309" customFormat="false" ht="12.75" hidden="false" customHeight="false" outlineLevel="0" collapsed="false">
      <c r="E309" s="2"/>
      <c r="F309" s="3"/>
      <c r="G309" s="104"/>
    </row>
    <row r="310" customFormat="false" ht="12.75" hidden="false" customHeight="false" outlineLevel="0" collapsed="false">
      <c r="E310" s="2"/>
      <c r="F310" s="3"/>
      <c r="G310" s="104"/>
    </row>
    <row r="311" customFormat="false" ht="12.75" hidden="false" customHeight="false" outlineLevel="0" collapsed="false">
      <c r="E311" s="2"/>
      <c r="F311" s="3"/>
      <c r="G311" s="104"/>
    </row>
    <row r="312" customFormat="false" ht="12.75" hidden="false" customHeight="false" outlineLevel="0" collapsed="false">
      <c r="E312" s="2"/>
      <c r="F312" s="3"/>
      <c r="G312" s="104"/>
    </row>
    <row r="313" customFormat="false" ht="12.75" hidden="false" customHeight="false" outlineLevel="0" collapsed="false">
      <c r="E313" s="2"/>
      <c r="F313" s="3"/>
      <c r="G313" s="104"/>
    </row>
    <row r="314" customFormat="false" ht="12.75" hidden="false" customHeight="false" outlineLevel="0" collapsed="false">
      <c r="E314" s="2"/>
      <c r="F314" s="3"/>
      <c r="G314" s="104"/>
    </row>
    <row r="315" customFormat="false" ht="12.75" hidden="false" customHeight="false" outlineLevel="0" collapsed="false">
      <c r="E315" s="2"/>
      <c r="F315" s="3"/>
      <c r="G315" s="104"/>
    </row>
    <row r="316" customFormat="false" ht="12.75" hidden="false" customHeight="false" outlineLevel="0" collapsed="false">
      <c r="E316" s="2"/>
      <c r="F316" s="3"/>
      <c r="G316" s="104"/>
    </row>
    <row r="317" customFormat="false" ht="12.75" hidden="false" customHeight="false" outlineLevel="0" collapsed="false">
      <c r="E317" s="2"/>
      <c r="F317" s="3"/>
      <c r="G317" s="104"/>
    </row>
    <row r="318" customFormat="false" ht="12.75" hidden="false" customHeight="false" outlineLevel="0" collapsed="false">
      <c r="E318" s="2"/>
      <c r="F318" s="3"/>
      <c r="G318" s="104"/>
    </row>
    <row r="319" customFormat="false" ht="12.75" hidden="false" customHeight="false" outlineLevel="0" collapsed="false">
      <c r="E319" s="2"/>
      <c r="F319" s="3"/>
      <c r="G319" s="104"/>
    </row>
    <row r="320" customFormat="false" ht="12.75" hidden="false" customHeight="false" outlineLevel="0" collapsed="false">
      <c r="E320" s="2"/>
      <c r="F320" s="3"/>
      <c r="G320" s="104"/>
    </row>
    <row r="321" customFormat="false" ht="12.75" hidden="false" customHeight="false" outlineLevel="0" collapsed="false">
      <c r="E321" s="2"/>
      <c r="F321" s="3"/>
      <c r="G321" s="104"/>
    </row>
    <row r="322" customFormat="false" ht="12.75" hidden="false" customHeight="false" outlineLevel="0" collapsed="false">
      <c r="E322" s="2"/>
      <c r="F322" s="3"/>
      <c r="G322" s="104"/>
    </row>
    <row r="323" customFormat="false" ht="12.75" hidden="false" customHeight="false" outlineLevel="0" collapsed="false">
      <c r="E323" s="2"/>
      <c r="F323" s="3"/>
      <c r="G323" s="104"/>
    </row>
    <row r="324" customFormat="false" ht="12.75" hidden="false" customHeight="false" outlineLevel="0" collapsed="false">
      <c r="E324" s="2"/>
      <c r="F324" s="3"/>
      <c r="G324" s="104"/>
    </row>
    <row r="325" customFormat="false" ht="12.75" hidden="false" customHeight="false" outlineLevel="0" collapsed="false">
      <c r="E325" s="2"/>
      <c r="F325" s="3"/>
      <c r="G325" s="104"/>
    </row>
    <row r="326" customFormat="false" ht="12.75" hidden="false" customHeight="false" outlineLevel="0" collapsed="false">
      <c r="E326" s="2"/>
      <c r="F326" s="3"/>
      <c r="G326" s="104"/>
    </row>
    <row r="327" customFormat="false" ht="12.75" hidden="false" customHeight="false" outlineLevel="0" collapsed="false">
      <c r="E327" s="2"/>
      <c r="F327" s="3"/>
      <c r="G327" s="104"/>
    </row>
    <row r="328" customFormat="false" ht="12.75" hidden="false" customHeight="false" outlineLevel="0" collapsed="false">
      <c r="E328" s="2"/>
      <c r="F328" s="3"/>
      <c r="G328" s="104"/>
    </row>
    <row r="329" customFormat="false" ht="12.75" hidden="false" customHeight="false" outlineLevel="0" collapsed="false">
      <c r="E329" s="2"/>
      <c r="F329" s="3"/>
      <c r="G329" s="104"/>
    </row>
    <row r="330" customFormat="false" ht="12.75" hidden="false" customHeight="false" outlineLevel="0" collapsed="false">
      <c r="E330" s="2"/>
      <c r="F330" s="3"/>
      <c r="G330" s="104"/>
    </row>
    <row r="331" customFormat="false" ht="12.75" hidden="false" customHeight="false" outlineLevel="0" collapsed="false">
      <c r="E331" s="2"/>
      <c r="F331" s="3"/>
      <c r="G331" s="104"/>
    </row>
    <row r="332" customFormat="false" ht="12.75" hidden="false" customHeight="false" outlineLevel="0" collapsed="false">
      <c r="E332" s="2"/>
      <c r="F332" s="3"/>
      <c r="G332" s="104"/>
    </row>
    <row r="333" customFormat="false" ht="12.75" hidden="false" customHeight="false" outlineLevel="0" collapsed="false">
      <c r="E333" s="2"/>
      <c r="F333" s="3"/>
      <c r="G333" s="104"/>
    </row>
    <row r="334" customFormat="false" ht="12.75" hidden="false" customHeight="false" outlineLevel="0" collapsed="false">
      <c r="E334" s="2"/>
      <c r="F334" s="3"/>
      <c r="G334" s="104"/>
    </row>
    <row r="335" customFormat="false" ht="12.75" hidden="false" customHeight="false" outlineLevel="0" collapsed="false">
      <c r="E335" s="2"/>
      <c r="F335" s="3"/>
      <c r="G335" s="104"/>
    </row>
    <row r="336" customFormat="false" ht="12.75" hidden="false" customHeight="false" outlineLevel="0" collapsed="false">
      <c r="E336" s="2"/>
      <c r="F336" s="3"/>
      <c r="G336" s="104"/>
    </row>
    <row r="337" customFormat="false" ht="12.75" hidden="false" customHeight="false" outlineLevel="0" collapsed="false">
      <c r="E337" s="2"/>
      <c r="F337" s="3"/>
      <c r="G337" s="104"/>
    </row>
    <row r="338" customFormat="false" ht="12.75" hidden="false" customHeight="false" outlineLevel="0" collapsed="false">
      <c r="E338" s="2"/>
      <c r="F338" s="3"/>
      <c r="G338" s="104"/>
    </row>
    <row r="339" customFormat="false" ht="12.75" hidden="false" customHeight="false" outlineLevel="0" collapsed="false">
      <c r="E339" s="2"/>
      <c r="F339" s="3"/>
      <c r="G339" s="104"/>
    </row>
    <row r="340" customFormat="false" ht="12.75" hidden="false" customHeight="false" outlineLevel="0" collapsed="false">
      <c r="E340" s="2"/>
      <c r="F340" s="3"/>
      <c r="G340" s="104"/>
    </row>
    <row r="341" customFormat="false" ht="12.75" hidden="false" customHeight="false" outlineLevel="0" collapsed="false">
      <c r="E341" s="2"/>
      <c r="F341" s="3"/>
      <c r="G341" s="104"/>
    </row>
    <row r="342" customFormat="false" ht="12.75" hidden="false" customHeight="false" outlineLevel="0" collapsed="false">
      <c r="E342" s="2"/>
      <c r="F342" s="3"/>
      <c r="G342" s="104"/>
    </row>
    <row r="343" customFormat="false" ht="12.75" hidden="false" customHeight="false" outlineLevel="0" collapsed="false">
      <c r="E343" s="2"/>
      <c r="F343" s="3"/>
      <c r="G343" s="104"/>
    </row>
    <row r="344" customFormat="false" ht="12.75" hidden="false" customHeight="false" outlineLevel="0" collapsed="false">
      <c r="E344" s="2"/>
      <c r="F344" s="3"/>
      <c r="G344" s="104"/>
    </row>
    <row r="345" customFormat="false" ht="12.75" hidden="false" customHeight="false" outlineLevel="0" collapsed="false">
      <c r="E345" s="2"/>
      <c r="F345" s="3"/>
      <c r="G345" s="104"/>
    </row>
    <row r="346" customFormat="false" ht="12.75" hidden="false" customHeight="false" outlineLevel="0" collapsed="false">
      <c r="E346" s="2"/>
      <c r="F346" s="3"/>
      <c r="G346" s="104"/>
    </row>
    <row r="347" customFormat="false" ht="12.75" hidden="false" customHeight="false" outlineLevel="0" collapsed="false">
      <c r="E347" s="2"/>
      <c r="F347" s="3"/>
      <c r="G347" s="104"/>
    </row>
    <row r="348" customFormat="false" ht="12.75" hidden="false" customHeight="false" outlineLevel="0" collapsed="false">
      <c r="E348" s="2"/>
      <c r="F348" s="3"/>
      <c r="G348" s="104"/>
    </row>
    <row r="349" customFormat="false" ht="12.75" hidden="false" customHeight="false" outlineLevel="0" collapsed="false">
      <c r="E349" s="2"/>
      <c r="F349" s="3"/>
      <c r="G349" s="104"/>
    </row>
    <row r="350" customFormat="false" ht="12.75" hidden="false" customHeight="false" outlineLevel="0" collapsed="false">
      <c r="E350" s="2"/>
      <c r="F350" s="3"/>
      <c r="G350" s="104"/>
    </row>
    <row r="351" customFormat="false" ht="12.75" hidden="false" customHeight="false" outlineLevel="0" collapsed="false">
      <c r="E351" s="2"/>
      <c r="F351" s="3"/>
      <c r="G351" s="104"/>
    </row>
    <row r="352" customFormat="false" ht="12.75" hidden="false" customHeight="false" outlineLevel="0" collapsed="false">
      <c r="E352" s="2"/>
      <c r="F352" s="3"/>
      <c r="G352" s="104"/>
    </row>
    <row r="353" customFormat="false" ht="12.75" hidden="false" customHeight="false" outlineLevel="0" collapsed="false">
      <c r="E353" s="2"/>
      <c r="F353" s="3"/>
      <c r="G353" s="104"/>
    </row>
    <row r="354" customFormat="false" ht="12.75" hidden="false" customHeight="false" outlineLevel="0" collapsed="false">
      <c r="E354" s="2"/>
      <c r="F354" s="3"/>
      <c r="G354" s="104"/>
    </row>
    <row r="355" customFormat="false" ht="12.75" hidden="false" customHeight="false" outlineLevel="0" collapsed="false">
      <c r="E355" s="2"/>
      <c r="F355" s="3"/>
      <c r="G355" s="104"/>
    </row>
    <row r="356" customFormat="false" ht="12.75" hidden="false" customHeight="false" outlineLevel="0" collapsed="false">
      <c r="E356" s="2"/>
      <c r="F356" s="3"/>
      <c r="G356" s="104"/>
    </row>
    <row r="357" customFormat="false" ht="12.75" hidden="false" customHeight="false" outlineLevel="0" collapsed="false">
      <c r="E357" s="2"/>
      <c r="F357" s="3"/>
      <c r="G357" s="104"/>
    </row>
    <row r="358" customFormat="false" ht="12.75" hidden="false" customHeight="false" outlineLevel="0" collapsed="false">
      <c r="E358" s="2"/>
      <c r="F358" s="3"/>
      <c r="G358" s="104"/>
    </row>
    <row r="359" customFormat="false" ht="12.75" hidden="false" customHeight="false" outlineLevel="0" collapsed="false">
      <c r="E359" s="2"/>
      <c r="F359" s="3"/>
      <c r="G359" s="104"/>
    </row>
    <row r="360" customFormat="false" ht="12.75" hidden="false" customHeight="false" outlineLevel="0" collapsed="false">
      <c r="E360" s="2"/>
      <c r="F360" s="3"/>
      <c r="G360" s="104"/>
    </row>
    <row r="361" customFormat="false" ht="12.75" hidden="false" customHeight="false" outlineLevel="0" collapsed="false">
      <c r="E361" s="2"/>
      <c r="F361" s="3"/>
      <c r="G361" s="104"/>
    </row>
    <row r="362" customFormat="false" ht="12.75" hidden="false" customHeight="false" outlineLevel="0" collapsed="false">
      <c r="E362" s="2"/>
      <c r="F362" s="3"/>
      <c r="G362" s="104"/>
    </row>
    <row r="363" customFormat="false" ht="12.75" hidden="false" customHeight="false" outlineLevel="0" collapsed="false">
      <c r="E363" s="2"/>
      <c r="F363" s="3"/>
      <c r="G363" s="104"/>
    </row>
    <row r="364" customFormat="false" ht="12.75" hidden="false" customHeight="false" outlineLevel="0" collapsed="false">
      <c r="E364" s="2"/>
      <c r="F364" s="3"/>
      <c r="G364" s="104"/>
    </row>
    <row r="365" customFormat="false" ht="12.75" hidden="false" customHeight="false" outlineLevel="0" collapsed="false">
      <c r="E365" s="2"/>
      <c r="F365" s="3"/>
      <c r="G365" s="104"/>
    </row>
    <row r="366" customFormat="false" ht="12.75" hidden="false" customHeight="false" outlineLevel="0" collapsed="false">
      <c r="E366" s="2"/>
      <c r="F366" s="3"/>
      <c r="G366" s="104"/>
    </row>
    <row r="367" customFormat="false" ht="12.75" hidden="false" customHeight="false" outlineLevel="0" collapsed="false">
      <c r="E367" s="2"/>
      <c r="F367" s="3"/>
      <c r="G367" s="104"/>
    </row>
    <row r="368" customFormat="false" ht="12.75" hidden="false" customHeight="false" outlineLevel="0" collapsed="false">
      <c r="E368" s="2"/>
      <c r="F368" s="3"/>
      <c r="G368" s="104"/>
    </row>
    <row r="369" customFormat="false" ht="12.75" hidden="false" customHeight="false" outlineLevel="0" collapsed="false">
      <c r="E369" s="2"/>
      <c r="F369" s="3"/>
      <c r="G369" s="104"/>
    </row>
    <row r="370" customFormat="false" ht="12.75" hidden="false" customHeight="false" outlineLevel="0" collapsed="false">
      <c r="E370" s="2"/>
      <c r="F370" s="3"/>
      <c r="G370" s="104"/>
    </row>
    <row r="371" customFormat="false" ht="12.75" hidden="false" customHeight="false" outlineLevel="0" collapsed="false">
      <c r="E371" s="2"/>
      <c r="F371" s="3"/>
      <c r="G371" s="104"/>
    </row>
    <row r="372" customFormat="false" ht="12.75" hidden="false" customHeight="false" outlineLevel="0" collapsed="false">
      <c r="E372" s="2"/>
      <c r="F372" s="3"/>
      <c r="G372" s="104"/>
    </row>
    <row r="373" customFormat="false" ht="12.75" hidden="false" customHeight="false" outlineLevel="0" collapsed="false">
      <c r="E373" s="2"/>
      <c r="F373" s="3"/>
      <c r="G373" s="104"/>
    </row>
    <row r="374" customFormat="false" ht="12.75" hidden="false" customHeight="false" outlineLevel="0" collapsed="false">
      <c r="E374" s="2"/>
      <c r="F374" s="3"/>
      <c r="G374" s="104"/>
    </row>
    <row r="375" customFormat="false" ht="12.75" hidden="false" customHeight="false" outlineLevel="0" collapsed="false">
      <c r="E375" s="2"/>
      <c r="F375" s="3"/>
      <c r="G375" s="104"/>
    </row>
    <row r="376" customFormat="false" ht="12.75" hidden="false" customHeight="false" outlineLevel="0" collapsed="false">
      <c r="E376" s="2"/>
      <c r="F376" s="3"/>
      <c r="G376" s="104"/>
    </row>
    <row r="377" customFormat="false" ht="12.75" hidden="false" customHeight="false" outlineLevel="0" collapsed="false">
      <c r="E377" s="2"/>
      <c r="F377" s="3"/>
      <c r="G377" s="104"/>
    </row>
    <row r="378" customFormat="false" ht="12.75" hidden="false" customHeight="false" outlineLevel="0" collapsed="false">
      <c r="E378" s="2"/>
      <c r="F378" s="3"/>
      <c r="G378" s="104"/>
    </row>
    <row r="379" customFormat="false" ht="12.75" hidden="false" customHeight="false" outlineLevel="0" collapsed="false">
      <c r="E379" s="2"/>
      <c r="F379" s="3"/>
      <c r="G379" s="104"/>
    </row>
    <row r="380" customFormat="false" ht="12.75" hidden="false" customHeight="false" outlineLevel="0" collapsed="false">
      <c r="E380" s="2"/>
      <c r="F380" s="3"/>
      <c r="G380" s="104"/>
    </row>
    <row r="381" customFormat="false" ht="12.75" hidden="false" customHeight="false" outlineLevel="0" collapsed="false">
      <c r="E381" s="2"/>
      <c r="F381" s="3"/>
      <c r="G381" s="104"/>
    </row>
    <row r="382" customFormat="false" ht="12.75" hidden="false" customHeight="false" outlineLevel="0" collapsed="false">
      <c r="E382" s="2"/>
      <c r="F382" s="3"/>
      <c r="G382" s="104"/>
    </row>
    <row r="383" customFormat="false" ht="12.75" hidden="false" customHeight="false" outlineLevel="0" collapsed="false">
      <c r="E383" s="2"/>
      <c r="F383" s="3"/>
      <c r="G383" s="104"/>
    </row>
    <row r="384" customFormat="false" ht="12.75" hidden="false" customHeight="false" outlineLevel="0" collapsed="false">
      <c r="E384" s="2"/>
      <c r="F384" s="3"/>
      <c r="G384" s="104"/>
    </row>
    <row r="385" customFormat="false" ht="12.75" hidden="false" customHeight="false" outlineLevel="0" collapsed="false">
      <c r="E385" s="2"/>
      <c r="F385" s="3"/>
      <c r="G385" s="104"/>
    </row>
    <row r="386" customFormat="false" ht="12.75" hidden="false" customHeight="false" outlineLevel="0" collapsed="false">
      <c r="E386" s="2"/>
      <c r="F386" s="3"/>
      <c r="G386" s="104"/>
    </row>
    <row r="387" customFormat="false" ht="12.75" hidden="false" customHeight="false" outlineLevel="0" collapsed="false">
      <c r="E387" s="2"/>
      <c r="F387" s="3"/>
      <c r="G387" s="104"/>
    </row>
    <row r="388" customFormat="false" ht="12.75" hidden="false" customHeight="false" outlineLevel="0" collapsed="false">
      <c r="E388" s="2"/>
      <c r="F388" s="3"/>
      <c r="G388" s="104"/>
    </row>
    <row r="389" customFormat="false" ht="12.75" hidden="false" customHeight="false" outlineLevel="0" collapsed="false">
      <c r="E389" s="2"/>
      <c r="F389" s="3"/>
      <c r="G389" s="104"/>
    </row>
    <row r="390" customFormat="false" ht="12.75" hidden="false" customHeight="false" outlineLevel="0" collapsed="false">
      <c r="E390" s="2"/>
      <c r="F390" s="3"/>
      <c r="G390" s="104"/>
    </row>
    <row r="391" customFormat="false" ht="12.75" hidden="false" customHeight="false" outlineLevel="0" collapsed="false">
      <c r="E391" s="2"/>
      <c r="F391" s="3"/>
      <c r="G391" s="104"/>
    </row>
    <row r="392" customFormat="false" ht="12.75" hidden="false" customHeight="false" outlineLevel="0" collapsed="false">
      <c r="E392" s="2"/>
      <c r="F392" s="3"/>
      <c r="G392" s="104"/>
    </row>
    <row r="393" customFormat="false" ht="12.75" hidden="false" customHeight="false" outlineLevel="0" collapsed="false">
      <c r="E393" s="2"/>
      <c r="F393" s="3"/>
      <c r="G393" s="104"/>
    </row>
    <row r="394" customFormat="false" ht="12.75" hidden="false" customHeight="false" outlineLevel="0" collapsed="false">
      <c r="E394" s="2"/>
      <c r="F394" s="3"/>
      <c r="G394" s="104"/>
    </row>
    <row r="395" customFormat="false" ht="12.75" hidden="false" customHeight="false" outlineLevel="0" collapsed="false">
      <c r="E395" s="2"/>
      <c r="F395" s="3"/>
      <c r="G395" s="104"/>
    </row>
    <row r="396" customFormat="false" ht="12.75" hidden="false" customHeight="false" outlineLevel="0" collapsed="false">
      <c r="E396" s="2"/>
      <c r="F396" s="3"/>
      <c r="G396" s="104"/>
    </row>
    <row r="397" customFormat="false" ht="12.75" hidden="false" customHeight="false" outlineLevel="0" collapsed="false">
      <c r="E397" s="2"/>
      <c r="F397" s="3"/>
      <c r="G397" s="104"/>
    </row>
    <row r="398" customFormat="false" ht="12.75" hidden="false" customHeight="false" outlineLevel="0" collapsed="false">
      <c r="E398" s="2"/>
      <c r="F398" s="3"/>
      <c r="G398" s="104"/>
    </row>
    <row r="399" customFormat="false" ht="12.75" hidden="false" customHeight="false" outlineLevel="0" collapsed="false">
      <c r="E399" s="2"/>
      <c r="F399" s="3"/>
      <c r="G399" s="104"/>
    </row>
    <row r="400" customFormat="false" ht="12.75" hidden="false" customHeight="false" outlineLevel="0" collapsed="false">
      <c r="E400" s="2"/>
      <c r="F400" s="3"/>
      <c r="G400" s="104"/>
    </row>
    <row r="401" customFormat="false" ht="12.75" hidden="false" customHeight="false" outlineLevel="0" collapsed="false">
      <c r="E401" s="2"/>
      <c r="F401" s="3"/>
      <c r="G401" s="104"/>
    </row>
    <row r="402" customFormat="false" ht="12.75" hidden="false" customHeight="false" outlineLevel="0" collapsed="false">
      <c r="E402" s="2"/>
      <c r="F402" s="3"/>
      <c r="G402" s="104"/>
    </row>
    <row r="403" customFormat="false" ht="12.75" hidden="false" customHeight="false" outlineLevel="0" collapsed="false">
      <c r="E403" s="2"/>
      <c r="F403" s="3"/>
      <c r="G403" s="104"/>
    </row>
    <row r="404" customFormat="false" ht="12.75" hidden="false" customHeight="false" outlineLevel="0" collapsed="false">
      <c r="E404" s="2"/>
      <c r="F404" s="3"/>
      <c r="G404" s="104"/>
    </row>
    <row r="405" customFormat="false" ht="12.75" hidden="false" customHeight="false" outlineLevel="0" collapsed="false">
      <c r="E405" s="2"/>
      <c r="F405" s="3"/>
      <c r="G405" s="104"/>
    </row>
    <row r="406" customFormat="false" ht="12.75" hidden="false" customHeight="false" outlineLevel="0" collapsed="false">
      <c r="E406" s="2"/>
      <c r="F406" s="3"/>
      <c r="G406" s="104"/>
    </row>
    <row r="407" customFormat="false" ht="12.75" hidden="false" customHeight="false" outlineLevel="0" collapsed="false">
      <c r="E407" s="2"/>
      <c r="F407" s="3"/>
      <c r="G407" s="104"/>
    </row>
    <row r="408" customFormat="false" ht="12.75" hidden="false" customHeight="false" outlineLevel="0" collapsed="false">
      <c r="E408" s="2"/>
      <c r="F408" s="3"/>
      <c r="G408" s="104"/>
    </row>
    <row r="409" customFormat="false" ht="12.75" hidden="false" customHeight="false" outlineLevel="0" collapsed="false">
      <c r="E409" s="2"/>
      <c r="F409" s="3"/>
      <c r="G409" s="104"/>
    </row>
    <row r="410" customFormat="false" ht="12.75" hidden="false" customHeight="false" outlineLevel="0" collapsed="false">
      <c r="E410" s="2"/>
      <c r="F410" s="3"/>
      <c r="G410" s="104"/>
    </row>
    <row r="411" customFormat="false" ht="12.75" hidden="false" customHeight="false" outlineLevel="0" collapsed="false">
      <c r="E411" s="2"/>
      <c r="F411" s="3"/>
      <c r="G411" s="104"/>
    </row>
    <row r="412" customFormat="false" ht="12.75" hidden="false" customHeight="false" outlineLevel="0" collapsed="false">
      <c r="E412" s="2"/>
      <c r="F412" s="3"/>
      <c r="G412" s="104"/>
    </row>
    <row r="413" customFormat="false" ht="12.75" hidden="false" customHeight="false" outlineLevel="0" collapsed="false">
      <c r="E413" s="2"/>
      <c r="F413" s="3"/>
      <c r="G413" s="104"/>
    </row>
    <row r="414" customFormat="false" ht="12.75" hidden="false" customHeight="false" outlineLevel="0" collapsed="false">
      <c r="E414" s="2"/>
      <c r="F414" s="3"/>
      <c r="G414" s="104"/>
    </row>
    <row r="415" customFormat="false" ht="12.75" hidden="false" customHeight="false" outlineLevel="0" collapsed="false">
      <c r="E415" s="2"/>
      <c r="F415" s="3"/>
      <c r="G415" s="104"/>
    </row>
    <row r="416" customFormat="false" ht="12.75" hidden="false" customHeight="false" outlineLevel="0" collapsed="false">
      <c r="E416" s="2"/>
      <c r="F416" s="3"/>
      <c r="G416" s="104"/>
    </row>
    <row r="417" customFormat="false" ht="12.75" hidden="false" customHeight="false" outlineLevel="0" collapsed="false">
      <c r="E417" s="2"/>
      <c r="F417" s="3"/>
      <c r="G417" s="104"/>
    </row>
    <row r="418" customFormat="false" ht="12.75" hidden="false" customHeight="false" outlineLevel="0" collapsed="false">
      <c r="E418" s="2"/>
      <c r="F418" s="3"/>
      <c r="G418" s="104"/>
    </row>
    <row r="419" customFormat="false" ht="12.75" hidden="false" customHeight="false" outlineLevel="0" collapsed="false">
      <c r="E419" s="2"/>
      <c r="F419" s="3"/>
      <c r="G419" s="104"/>
    </row>
    <row r="420" customFormat="false" ht="12.75" hidden="false" customHeight="false" outlineLevel="0" collapsed="false">
      <c r="E420" s="2"/>
      <c r="F420" s="3"/>
      <c r="G420" s="104"/>
    </row>
    <row r="421" customFormat="false" ht="12.75" hidden="false" customHeight="false" outlineLevel="0" collapsed="false">
      <c r="E421" s="2"/>
      <c r="F421" s="3"/>
      <c r="G421" s="104"/>
    </row>
    <row r="422" customFormat="false" ht="12.75" hidden="false" customHeight="false" outlineLevel="0" collapsed="false">
      <c r="E422" s="2"/>
      <c r="F422" s="3"/>
      <c r="G422" s="104"/>
    </row>
    <row r="423" customFormat="false" ht="12.75" hidden="false" customHeight="false" outlineLevel="0" collapsed="false">
      <c r="E423" s="2"/>
      <c r="F423" s="3"/>
      <c r="G423" s="104"/>
    </row>
    <row r="424" customFormat="false" ht="12.75" hidden="false" customHeight="false" outlineLevel="0" collapsed="false">
      <c r="E424" s="2"/>
      <c r="F424" s="3"/>
      <c r="G424" s="104"/>
    </row>
    <row r="425" customFormat="false" ht="12.75" hidden="false" customHeight="false" outlineLevel="0" collapsed="false">
      <c r="E425" s="2"/>
      <c r="F425" s="3"/>
      <c r="G425" s="104"/>
    </row>
    <row r="426" customFormat="false" ht="12.75" hidden="false" customHeight="false" outlineLevel="0" collapsed="false">
      <c r="E426" s="2"/>
      <c r="F426" s="3"/>
      <c r="G426" s="104"/>
    </row>
    <row r="427" customFormat="false" ht="12.75" hidden="false" customHeight="false" outlineLevel="0" collapsed="false">
      <c r="E427" s="2"/>
      <c r="F427" s="3"/>
      <c r="G427" s="104"/>
    </row>
    <row r="428" customFormat="false" ht="12.75" hidden="false" customHeight="false" outlineLevel="0" collapsed="false">
      <c r="E428" s="2"/>
      <c r="F428" s="3"/>
      <c r="G428" s="104"/>
    </row>
    <row r="429" customFormat="false" ht="12.75" hidden="false" customHeight="false" outlineLevel="0" collapsed="false">
      <c r="E429" s="2"/>
      <c r="F429" s="3"/>
      <c r="G429" s="104"/>
    </row>
    <row r="430" customFormat="false" ht="12.75" hidden="false" customHeight="false" outlineLevel="0" collapsed="false">
      <c r="E430" s="2"/>
      <c r="F430" s="3"/>
      <c r="G430" s="104"/>
    </row>
    <row r="431" customFormat="false" ht="12.75" hidden="false" customHeight="false" outlineLevel="0" collapsed="false">
      <c r="E431" s="2"/>
      <c r="F431" s="3"/>
      <c r="G431" s="104"/>
    </row>
    <row r="432" customFormat="false" ht="12.75" hidden="false" customHeight="false" outlineLevel="0" collapsed="false">
      <c r="E432" s="2"/>
      <c r="F432" s="3"/>
      <c r="G432" s="104"/>
    </row>
    <row r="433" customFormat="false" ht="12.75" hidden="false" customHeight="false" outlineLevel="0" collapsed="false">
      <c r="E433" s="2"/>
      <c r="F433" s="3"/>
      <c r="G433" s="104"/>
    </row>
    <row r="434" customFormat="false" ht="12.75" hidden="false" customHeight="false" outlineLevel="0" collapsed="false">
      <c r="E434" s="2"/>
      <c r="F434" s="3"/>
      <c r="G434" s="104"/>
    </row>
    <row r="435" customFormat="false" ht="12.75" hidden="false" customHeight="false" outlineLevel="0" collapsed="false">
      <c r="E435" s="2"/>
      <c r="F435" s="3"/>
      <c r="G435" s="104"/>
    </row>
    <row r="436" customFormat="false" ht="12.75" hidden="false" customHeight="false" outlineLevel="0" collapsed="false">
      <c r="E436" s="2"/>
      <c r="F436" s="3"/>
      <c r="G436" s="104"/>
    </row>
    <row r="437" customFormat="false" ht="12.75" hidden="false" customHeight="false" outlineLevel="0" collapsed="false">
      <c r="E437" s="2"/>
      <c r="F437" s="3"/>
      <c r="G437" s="104"/>
    </row>
    <row r="438" customFormat="false" ht="12.75" hidden="false" customHeight="false" outlineLevel="0" collapsed="false">
      <c r="E438" s="2"/>
      <c r="F438" s="3"/>
      <c r="G438" s="104"/>
    </row>
    <row r="439" customFormat="false" ht="12.75" hidden="false" customHeight="false" outlineLevel="0" collapsed="false">
      <c r="E439" s="2"/>
      <c r="F439" s="3"/>
      <c r="G439" s="104"/>
    </row>
    <row r="440" customFormat="false" ht="12.75" hidden="false" customHeight="false" outlineLevel="0" collapsed="false">
      <c r="E440" s="2"/>
      <c r="F440" s="3"/>
      <c r="G440" s="104"/>
    </row>
    <row r="441" customFormat="false" ht="12.75" hidden="false" customHeight="false" outlineLevel="0" collapsed="false">
      <c r="E441" s="2"/>
      <c r="F441" s="3"/>
      <c r="G441" s="104"/>
    </row>
    <row r="442" customFormat="false" ht="12.75" hidden="false" customHeight="false" outlineLevel="0" collapsed="false">
      <c r="E442" s="2"/>
      <c r="F442" s="3"/>
      <c r="G442" s="104"/>
    </row>
    <row r="443" customFormat="false" ht="12.75" hidden="false" customHeight="false" outlineLevel="0" collapsed="false">
      <c r="E443" s="2"/>
      <c r="F443" s="3"/>
      <c r="G443" s="104"/>
    </row>
    <row r="444" customFormat="false" ht="12.75" hidden="false" customHeight="false" outlineLevel="0" collapsed="false">
      <c r="E444" s="2"/>
      <c r="F444" s="3"/>
      <c r="G444" s="104"/>
    </row>
    <row r="445" customFormat="false" ht="12.75" hidden="false" customHeight="false" outlineLevel="0" collapsed="false">
      <c r="E445" s="2"/>
      <c r="F445" s="3"/>
      <c r="G445" s="104"/>
    </row>
    <row r="446" customFormat="false" ht="12.75" hidden="false" customHeight="false" outlineLevel="0" collapsed="false">
      <c r="E446" s="2"/>
      <c r="F446" s="3"/>
      <c r="G446" s="104"/>
    </row>
    <row r="447" customFormat="false" ht="12.75" hidden="false" customHeight="false" outlineLevel="0" collapsed="false">
      <c r="E447" s="2"/>
      <c r="F447" s="3"/>
      <c r="G447" s="104"/>
    </row>
    <row r="448" customFormat="false" ht="12.75" hidden="false" customHeight="false" outlineLevel="0" collapsed="false">
      <c r="E448" s="2"/>
      <c r="F448" s="3"/>
      <c r="G448" s="104"/>
    </row>
    <row r="449" customFormat="false" ht="12.75" hidden="false" customHeight="false" outlineLevel="0" collapsed="false">
      <c r="E449" s="2"/>
      <c r="F449" s="3"/>
      <c r="G449" s="104"/>
    </row>
    <row r="450" customFormat="false" ht="12.75" hidden="false" customHeight="false" outlineLevel="0" collapsed="false">
      <c r="E450" s="2"/>
      <c r="F450" s="3"/>
      <c r="G450" s="104"/>
    </row>
    <row r="451" customFormat="false" ht="12.75" hidden="false" customHeight="false" outlineLevel="0" collapsed="false">
      <c r="E451" s="2"/>
      <c r="F451" s="3"/>
      <c r="G451" s="104"/>
    </row>
    <row r="452" customFormat="false" ht="12.75" hidden="false" customHeight="false" outlineLevel="0" collapsed="false">
      <c r="E452" s="2"/>
      <c r="F452" s="3"/>
      <c r="G452" s="104"/>
    </row>
    <row r="453" customFormat="false" ht="12.75" hidden="false" customHeight="false" outlineLevel="0" collapsed="false">
      <c r="E453" s="2"/>
      <c r="F453" s="3"/>
      <c r="G453" s="104"/>
    </row>
    <row r="454" customFormat="false" ht="12.75" hidden="false" customHeight="false" outlineLevel="0" collapsed="false">
      <c r="E454" s="2"/>
      <c r="F454" s="3"/>
      <c r="G454" s="104"/>
    </row>
    <row r="455" customFormat="false" ht="12.75" hidden="false" customHeight="false" outlineLevel="0" collapsed="false">
      <c r="E455" s="2"/>
      <c r="F455" s="3"/>
      <c r="G455" s="104"/>
    </row>
    <row r="456" customFormat="false" ht="12.75" hidden="false" customHeight="false" outlineLevel="0" collapsed="false">
      <c r="E456" s="2"/>
      <c r="F456" s="3"/>
      <c r="G456" s="104"/>
    </row>
    <row r="457" customFormat="false" ht="12.75" hidden="false" customHeight="false" outlineLevel="0" collapsed="false">
      <c r="E457" s="2"/>
      <c r="F457" s="3"/>
      <c r="G457" s="104"/>
    </row>
    <row r="458" customFormat="false" ht="12.75" hidden="false" customHeight="false" outlineLevel="0" collapsed="false">
      <c r="E458" s="2"/>
      <c r="F458" s="3"/>
      <c r="G458" s="104"/>
    </row>
    <row r="459" customFormat="false" ht="12.75" hidden="false" customHeight="false" outlineLevel="0" collapsed="false">
      <c r="E459" s="2"/>
      <c r="F459" s="3"/>
      <c r="G459" s="104"/>
    </row>
    <row r="460" customFormat="false" ht="12.75" hidden="false" customHeight="false" outlineLevel="0" collapsed="false">
      <c r="E460" s="2"/>
      <c r="F460" s="3"/>
      <c r="G460" s="104"/>
    </row>
    <row r="461" customFormat="false" ht="12.75" hidden="false" customHeight="false" outlineLevel="0" collapsed="false">
      <c r="E461" s="2"/>
      <c r="F461" s="3"/>
      <c r="G461" s="104"/>
    </row>
    <row r="462" customFormat="false" ht="12.75" hidden="false" customHeight="false" outlineLevel="0" collapsed="false">
      <c r="E462" s="2"/>
      <c r="F462" s="3"/>
      <c r="G462" s="104"/>
    </row>
    <row r="463" customFormat="false" ht="12.75" hidden="false" customHeight="false" outlineLevel="0" collapsed="false">
      <c r="E463" s="2"/>
      <c r="F463" s="3"/>
      <c r="G463" s="104"/>
    </row>
    <row r="464" customFormat="false" ht="12.75" hidden="false" customHeight="false" outlineLevel="0" collapsed="false">
      <c r="E464" s="2"/>
      <c r="F464" s="3"/>
      <c r="G464" s="104"/>
    </row>
    <row r="465" customFormat="false" ht="12.75" hidden="false" customHeight="false" outlineLevel="0" collapsed="false">
      <c r="E465" s="2"/>
      <c r="F465" s="3"/>
      <c r="G465" s="104"/>
    </row>
    <row r="466" customFormat="false" ht="12.75" hidden="false" customHeight="false" outlineLevel="0" collapsed="false">
      <c r="E466" s="2"/>
      <c r="F466" s="3"/>
      <c r="G466" s="104"/>
    </row>
    <row r="467" customFormat="false" ht="12.75" hidden="false" customHeight="false" outlineLevel="0" collapsed="false">
      <c r="E467" s="2"/>
      <c r="F467" s="3"/>
      <c r="G467" s="104"/>
    </row>
    <row r="468" customFormat="false" ht="12.75" hidden="false" customHeight="false" outlineLevel="0" collapsed="false">
      <c r="E468" s="2"/>
      <c r="F468" s="3"/>
      <c r="G468" s="104"/>
    </row>
    <row r="469" customFormat="false" ht="12.75" hidden="false" customHeight="false" outlineLevel="0" collapsed="false">
      <c r="E469" s="2"/>
      <c r="F469" s="3"/>
      <c r="G469" s="104"/>
    </row>
    <row r="470" customFormat="false" ht="12.75" hidden="false" customHeight="false" outlineLevel="0" collapsed="false">
      <c r="E470" s="2"/>
      <c r="F470" s="3"/>
      <c r="G470" s="104"/>
    </row>
    <row r="471" customFormat="false" ht="12.75" hidden="false" customHeight="false" outlineLevel="0" collapsed="false">
      <c r="E471" s="2"/>
      <c r="F471" s="3"/>
      <c r="G471" s="104"/>
    </row>
    <row r="472" customFormat="false" ht="12.75" hidden="false" customHeight="false" outlineLevel="0" collapsed="false">
      <c r="E472" s="2"/>
      <c r="F472" s="3"/>
      <c r="G472" s="104"/>
    </row>
    <row r="473" customFormat="false" ht="12.75" hidden="false" customHeight="false" outlineLevel="0" collapsed="false">
      <c r="E473" s="2"/>
      <c r="F473" s="3"/>
      <c r="G473" s="104"/>
    </row>
    <row r="474" customFormat="false" ht="12.75" hidden="false" customHeight="false" outlineLevel="0" collapsed="false">
      <c r="E474" s="2"/>
      <c r="F474" s="3"/>
      <c r="G474" s="104"/>
    </row>
    <row r="475" customFormat="false" ht="12.75" hidden="false" customHeight="false" outlineLevel="0" collapsed="false">
      <c r="E475" s="2"/>
      <c r="F475" s="3"/>
      <c r="G475" s="104"/>
    </row>
    <row r="476" customFormat="false" ht="12.75" hidden="false" customHeight="false" outlineLevel="0" collapsed="false">
      <c r="E476" s="2"/>
      <c r="F476" s="3"/>
      <c r="G476" s="104"/>
    </row>
    <row r="477" customFormat="false" ht="12.75" hidden="false" customHeight="false" outlineLevel="0" collapsed="false">
      <c r="E477" s="2"/>
      <c r="F477" s="3"/>
      <c r="G477" s="104"/>
    </row>
    <row r="478" customFormat="false" ht="12.75" hidden="false" customHeight="false" outlineLevel="0" collapsed="false">
      <c r="E478" s="2"/>
      <c r="F478" s="3"/>
      <c r="G478" s="104"/>
    </row>
    <row r="479" customFormat="false" ht="12.75" hidden="false" customHeight="false" outlineLevel="0" collapsed="false">
      <c r="E479" s="2"/>
      <c r="F479" s="3"/>
      <c r="G479" s="104"/>
    </row>
    <row r="480" customFormat="false" ht="12.75" hidden="false" customHeight="false" outlineLevel="0" collapsed="false">
      <c r="E480" s="2"/>
      <c r="F480" s="3"/>
      <c r="G480" s="104"/>
    </row>
    <row r="481" customFormat="false" ht="12.75" hidden="false" customHeight="false" outlineLevel="0" collapsed="false">
      <c r="E481" s="2"/>
      <c r="F481" s="3"/>
      <c r="G481" s="104"/>
    </row>
    <row r="482" customFormat="false" ht="12.75" hidden="false" customHeight="false" outlineLevel="0" collapsed="false">
      <c r="E482" s="2"/>
      <c r="F482" s="3"/>
      <c r="G482" s="104"/>
    </row>
    <row r="483" customFormat="false" ht="12.75" hidden="false" customHeight="false" outlineLevel="0" collapsed="false">
      <c r="E483" s="2"/>
      <c r="F483" s="3"/>
      <c r="G483" s="104"/>
    </row>
    <row r="484" customFormat="false" ht="12.75" hidden="false" customHeight="false" outlineLevel="0" collapsed="false">
      <c r="E484" s="2"/>
      <c r="F484" s="3"/>
      <c r="G484" s="104"/>
    </row>
    <row r="485" customFormat="false" ht="12.75" hidden="false" customHeight="false" outlineLevel="0" collapsed="false">
      <c r="E485" s="2"/>
      <c r="F485" s="3"/>
      <c r="G485" s="104"/>
    </row>
    <row r="486" customFormat="false" ht="12.75" hidden="false" customHeight="false" outlineLevel="0" collapsed="false">
      <c r="E486" s="2"/>
      <c r="F486" s="3"/>
      <c r="G486" s="104"/>
    </row>
    <row r="487" customFormat="false" ht="12.75" hidden="false" customHeight="false" outlineLevel="0" collapsed="false">
      <c r="E487" s="2"/>
      <c r="F487" s="3"/>
      <c r="G487" s="104"/>
    </row>
    <row r="488" customFormat="false" ht="12.75" hidden="false" customHeight="false" outlineLevel="0" collapsed="false">
      <c r="E488" s="2"/>
      <c r="F488" s="3"/>
      <c r="G488" s="104"/>
    </row>
    <row r="489" customFormat="false" ht="12.75" hidden="false" customHeight="false" outlineLevel="0" collapsed="false">
      <c r="E489" s="2"/>
      <c r="F489" s="3"/>
      <c r="G489" s="104"/>
    </row>
    <row r="490" customFormat="false" ht="12.75" hidden="false" customHeight="false" outlineLevel="0" collapsed="false">
      <c r="E490" s="2"/>
      <c r="F490" s="3"/>
      <c r="G490" s="104"/>
    </row>
  </sheetData>
  <mergeCells count="90">
    <mergeCell ref="B5:D6"/>
    <mergeCell ref="E5:F5"/>
    <mergeCell ref="G5:G6"/>
    <mergeCell ref="H5:I5"/>
    <mergeCell ref="J5:J6"/>
    <mergeCell ref="K5:K6"/>
    <mergeCell ref="L5:L6"/>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8"/>
    <mergeCell ref="E27:F27"/>
    <mergeCell ref="G27:G28"/>
    <mergeCell ref="H27:I27"/>
    <mergeCell ref="J27:J28"/>
    <mergeCell ref="K27:K28"/>
    <mergeCell ref="L27:L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4"/>
    <mergeCell ref="E43:F43"/>
    <mergeCell ref="G43:G44"/>
    <mergeCell ref="H43:I43"/>
    <mergeCell ref="J43:J44"/>
    <mergeCell ref="K43:K44"/>
    <mergeCell ref="L43:L44"/>
    <mergeCell ref="B45:D45"/>
    <mergeCell ref="B46:D46"/>
    <mergeCell ref="B47:D47"/>
    <mergeCell ref="B48:D48"/>
    <mergeCell ref="B49:D50"/>
    <mergeCell ref="E49:F49"/>
    <mergeCell ref="G49:G50"/>
    <mergeCell ref="H49:I49"/>
    <mergeCell ref="J49:J50"/>
    <mergeCell ref="K49:K50"/>
    <mergeCell ref="L49:L50"/>
    <mergeCell ref="B51:D51"/>
    <mergeCell ref="B52:D52"/>
    <mergeCell ref="B53:D53"/>
    <mergeCell ref="B54:D54"/>
    <mergeCell ref="B55:D55"/>
    <mergeCell ref="B56:D56"/>
    <mergeCell ref="B57:D58"/>
    <mergeCell ref="E57:F57"/>
    <mergeCell ref="G57:G58"/>
    <mergeCell ref="H57:I57"/>
    <mergeCell ref="J57:J58"/>
    <mergeCell ref="K57:K58"/>
    <mergeCell ref="L57:L58"/>
    <mergeCell ref="B59:D59"/>
    <mergeCell ref="B60:D60"/>
    <mergeCell ref="B62:D62"/>
    <mergeCell ref="B72:D72"/>
    <mergeCell ref="B73:D73"/>
    <mergeCell ref="B74:D74"/>
    <mergeCell ref="B75:D75"/>
    <mergeCell ref="B76:D76"/>
    <mergeCell ref="B77:D77"/>
    <mergeCell ref="B78:D78"/>
    <mergeCell ref="B92:D92"/>
    <mergeCell ref="B93:D93"/>
  </mergeCells>
  <printOptions headings="false" gridLines="false" gridLinesSet="true" horizontalCentered="true" verticalCentered="false"/>
  <pageMargins left="0.25" right="0.25" top="0.5" bottom="0.65" header="0.25" footer="0.25"/>
  <pageSetup paperSize="1" scale="90" fitToWidth="1" fitToHeight="1" pageOrder="downThenOver" orientation="landscape" blackAndWhite="false" draft="false" cellComments="none" horizontalDpi="300" verticalDpi="300" copies="1"/>
  <headerFooter differentFirst="false" differentOddEven="false">
    <oddHeader>&amp;R&amp;8&amp;D</oddHeader>
    <oddFooter>&amp;R&amp;8&amp;P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8</TotalTime>
  <Application>Collabora_Office/25.04.3.1$Linux_X86_64 LibreOffice_project/531aea4c7d77542af7803c02dd62362e5ef4f882</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2002-09-30T20:46:38Z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2025-05-01T12:28:29Z</cp:lastPrinted>
  <dcterms:modified xsi:type="dcterms:W3CDTF">2025-07-13T18:59:47Z</dcterms:modified>
  <cp:revision>2</cp:revision>
  <dc:subject/>
  <dc:title>Food &amp; Beverage Inventory</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