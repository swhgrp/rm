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FOOD" sheetId="1" state="visible" r:id="rId2"/>
    <sheet name="BAR" sheetId="2" state="visible" r:id="rId3"/>
  </sheets>
  <definedNames>
    <definedName name="_xlnm.Print_Area" localSheetId="0">FOOD!$C$1:$I$222</definedName>
    <definedName name="Print_Titles" localSheetId="0">FOOD!$1:$6</definedName>
    <definedName name="_xlnm.Print_Area" localSheetId="1">BAR!$B$1:$I$180</definedName>
    <definedName name="Print_Titles" localSheetId="1">BAR!$1:$6</definedName>
  </definedNames>
  <calcPr iterateDelta="0.0001"/>
  <extLst>
    <ext xmlns:x15="http://schemas.microsoft.com/office/spreadsheetml/2010/11/main" uri="{D0CA8CA8-9F24-4464-BF8E-62219DCF47F9}"/>
  </extLst>
</workbook>
</file>

<file path=xl/sharedStrings.xml><?xml version="1.0" encoding="utf-8"?>
<sst xmlns="http://schemas.openxmlformats.org/spreadsheetml/2006/main" count="381" uniqueCount="381">
  <si>
    <t xml:space="preserve">SW Grill</t>
  </si>
  <si>
    <t xml:space="preserve">Food Order Sheet</t>
  </si>
  <si>
    <t xml:space="preserve"> </t>
  </si>
  <si>
    <t xml:space="preserve">ITEM DESCRIPTIONS</t>
  </si>
  <si>
    <t>DISTRUBUTOR</t>
  </si>
  <si>
    <t>UNITS</t>
  </si>
  <si>
    <t xml:space="preserve">ON HAND</t>
  </si>
  <si>
    <t>PAR</t>
  </si>
  <si>
    <t xml:space="preserve">TO ORDER</t>
  </si>
  <si>
    <t xml:space="preserve">Lowest Price</t>
  </si>
  <si>
    <t>MEAT</t>
  </si>
  <si>
    <t>BJs</t>
  </si>
  <si>
    <t>Sams</t>
  </si>
  <si>
    <t>GFS</t>
  </si>
  <si>
    <t>Price</t>
  </si>
  <si>
    <t xml:space="preserve">Per Unit</t>
  </si>
  <si>
    <t>Turkey</t>
  </si>
  <si>
    <t>Ham</t>
  </si>
  <si>
    <t>Salami</t>
  </si>
  <si>
    <t>Cappacola</t>
  </si>
  <si>
    <t xml:space="preserve">Cuban Meat</t>
  </si>
  <si>
    <t xml:space="preserve">Flap Steak</t>
  </si>
  <si>
    <t xml:space="preserve">Sausage Patties</t>
  </si>
  <si>
    <t xml:space="preserve">1 Case</t>
  </si>
  <si>
    <t xml:space="preserve">Hot Dogs</t>
  </si>
  <si>
    <t xml:space="preserve">5 Cases</t>
  </si>
  <si>
    <t>Bacon</t>
  </si>
  <si>
    <t xml:space="preserve">Burger patty</t>
  </si>
  <si>
    <t xml:space="preserve">Slider meat</t>
  </si>
  <si>
    <t>Prosciutto</t>
  </si>
  <si>
    <t>SNACKS</t>
  </si>
  <si>
    <t>M&amp;M's</t>
  </si>
  <si>
    <t xml:space="preserve">Peanut M&amp;M's</t>
  </si>
  <si>
    <t>Twix</t>
  </si>
  <si>
    <t>Snickers</t>
  </si>
  <si>
    <t>Reese's</t>
  </si>
  <si>
    <t xml:space="preserve">Kit Kat</t>
  </si>
  <si>
    <t xml:space="preserve">Milky Way</t>
  </si>
  <si>
    <t xml:space="preserve">Beef Jerky - Jack Links Variety Pack</t>
  </si>
  <si>
    <t xml:space="preserve">Trail Mix - Kar's Sweet and Salty</t>
  </si>
  <si>
    <t>Sam's</t>
  </si>
  <si>
    <t xml:space="preserve">Planters Nuts Variety Pack</t>
  </si>
  <si>
    <t xml:space="preserve">Goldfish Crackers</t>
  </si>
  <si>
    <t xml:space="preserve">Kind Bars - Peanut Butter/Almond Pack</t>
  </si>
  <si>
    <t xml:space="preserve">Clif Bar Peanut Butter</t>
  </si>
  <si>
    <t xml:space="preserve">Clif Bar Almond</t>
  </si>
  <si>
    <t xml:space="preserve">Muffin - Cholcolate Chip</t>
  </si>
  <si>
    <t xml:space="preserve">Muffin - Blueberry</t>
  </si>
  <si>
    <t xml:space="preserve">Muffin - Coffee Cake</t>
  </si>
  <si>
    <t>Brownies</t>
  </si>
  <si>
    <t xml:space="preserve">Vickie's Sea Salt</t>
  </si>
  <si>
    <t xml:space="preserve">Vickie's Salt &amp; Vinegar</t>
  </si>
  <si>
    <t xml:space="preserve">Vickie's BBQ</t>
  </si>
  <si>
    <t xml:space="preserve">Vickie's Jalapeno</t>
  </si>
  <si>
    <t>Pretzels</t>
  </si>
  <si>
    <t xml:space="preserve">Variety Pack Chips</t>
  </si>
  <si>
    <t>Waffle</t>
  </si>
  <si>
    <t xml:space="preserve">Hibiscus (Jamaica)</t>
  </si>
  <si>
    <t xml:space="preserve">Strawberry Dragonfruit</t>
  </si>
  <si>
    <t xml:space="preserve">Sweet Tea</t>
  </si>
  <si>
    <t>Lemonade</t>
  </si>
  <si>
    <t xml:space="preserve">Berry Patch</t>
  </si>
  <si>
    <t xml:space="preserve">Mandarin Cardamom</t>
  </si>
  <si>
    <t>POULTRY</t>
  </si>
  <si>
    <t>UNIT</t>
  </si>
  <si>
    <t>Eggs</t>
  </si>
  <si>
    <t xml:space="preserve">Chicken Wings</t>
  </si>
  <si>
    <t xml:space="preserve">Chicken Breast</t>
  </si>
  <si>
    <t xml:space="preserve">Chicken Tenders</t>
  </si>
  <si>
    <t>PRODUCE</t>
  </si>
  <si>
    <t>Lettuce</t>
  </si>
  <si>
    <t xml:space="preserve">Di Martino</t>
  </si>
  <si>
    <t xml:space="preserve">Red Onion</t>
  </si>
  <si>
    <t>Basil</t>
  </si>
  <si>
    <t>Tomatoes</t>
  </si>
  <si>
    <t>Cilantro</t>
  </si>
  <si>
    <t xml:space="preserve">White Onion</t>
  </si>
  <si>
    <t>Parsley</t>
  </si>
  <si>
    <t>Avocado</t>
  </si>
  <si>
    <t>Jalapeno</t>
  </si>
  <si>
    <t xml:space="preserve">Garlic Cloves</t>
  </si>
  <si>
    <t>Mint</t>
  </si>
  <si>
    <t>Cucumber</t>
  </si>
  <si>
    <t xml:space="preserve">Spring Mix</t>
  </si>
  <si>
    <t>Celery</t>
  </si>
  <si>
    <t xml:space="preserve">Slider Bun MINI</t>
  </si>
  <si>
    <t>Watermelon</t>
  </si>
  <si>
    <t xml:space="preserve">Cole Slaw</t>
  </si>
  <si>
    <t xml:space="preserve">Red Bell Pepper</t>
  </si>
  <si>
    <t>Strawberry</t>
  </si>
  <si>
    <t>Raspberry</t>
  </si>
  <si>
    <t>Blueberry</t>
  </si>
  <si>
    <t>Grapes</t>
  </si>
  <si>
    <t>Shallots</t>
  </si>
  <si>
    <t>Scallions</t>
  </si>
  <si>
    <t xml:space="preserve">Idaho Potatoes</t>
  </si>
  <si>
    <t xml:space="preserve">Frying Shortening</t>
  </si>
  <si>
    <t>DAIRY</t>
  </si>
  <si>
    <t>Cheddar</t>
  </si>
  <si>
    <t>Swiss</t>
  </si>
  <si>
    <t>Provolone</t>
  </si>
  <si>
    <t xml:space="preserve">Cream Cheese</t>
  </si>
  <si>
    <t xml:space="preserve">Pepper Jack Cheese</t>
  </si>
  <si>
    <t xml:space="preserve">Feta Cheese</t>
  </si>
  <si>
    <t>Buttermilk</t>
  </si>
  <si>
    <t xml:space="preserve">Heavy Cream</t>
  </si>
  <si>
    <t xml:space="preserve">Mexican Blend Cheese</t>
  </si>
  <si>
    <t xml:space="preserve">Parmesan Cheese</t>
  </si>
  <si>
    <t xml:space="preserve">Mozzarella Cheese Log</t>
  </si>
  <si>
    <t xml:space="preserve">Gouda Cheese</t>
  </si>
  <si>
    <t xml:space="preserve">Manchego Cheese</t>
  </si>
  <si>
    <t xml:space="preserve">Brie Cheese</t>
  </si>
  <si>
    <t xml:space="preserve">Ice Cream</t>
  </si>
  <si>
    <t xml:space="preserve">Sour Cream</t>
  </si>
  <si>
    <t xml:space="preserve">Ricotta Cheese</t>
  </si>
  <si>
    <t xml:space="preserve">Shredded Mozzarella Cheese</t>
  </si>
  <si>
    <t xml:space="preserve">Blue Cheese Crumble</t>
  </si>
  <si>
    <t>BAKERY</t>
  </si>
  <si>
    <t xml:space="preserve">Wheat Bread</t>
  </si>
  <si>
    <t xml:space="preserve">White Bread</t>
  </si>
  <si>
    <t xml:space="preserve">Hot Dog Buns</t>
  </si>
  <si>
    <t xml:space="preserve">English Muffins</t>
  </si>
  <si>
    <t>Bagels</t>
  </si>
  <si>
    <t>Wraps</t>
  </si>
  <si>
    <t xml:space="preserve">Cuban Bread</t>
  </si>
  <si>
    <t xml:space="preserve">Brioche Bun</t>
  </si>
  <si>
    <t xml:space="preserve">Tortilla Chips</t>
  </si>
  <si>
    <t xml:space="preserve">Italian Bread (grinder rolls)</t>
  </si>
  <si>
    <t xml:space="preserve">Sourdough Bread</t>
  </si>
  <si>
    <t>Flatbread</t>
  </si>
  <si>
    <t>Croissants</t>
  </si>
  <si>
    <t xml:space="preserve">GROCERY/DRY GOODS</t>
  </si>
  <si>
    <t xml:space="preserve">Ketchup Packets</t>
  </si>
  <si>
    <t xml:space="preserve">Mustard Packets</t>
  </si>
  <si>
    <t xml:space="preserve">Mayo Packets</t>
  </si>
  <si>
    <t xml:space="preserve">Ketchup #10 Jug</t>
  </si>
  <si>
    <t xml:space="preserve">Mayo 1gal</t>
  </si>
  <si>
    <t xml:space="preserve">2oz to go plastic container </t>
  </si>
  <si>
    <t xml:space="preserve">Kraut 1gal</t>
  </si>
  <si>
    <t xml:space="preserve">Dijon Mustard </t>
  </si>
  <si>
    <t xml:space="preserve">Yellow Mustard</t>
  </si>
  <si>
    <t xml:space="preserve">Honey Mustard</t>
  </si>
  <si>
    <t xml:space="preserve">Olive Oil</t>
  </si>
  <si>
    <t xml:space="preserve">4oz plastic to go containers </t>
  </si>
  <si>
    <t xml:space="preserve">BBQ Sauce</t>
  </si>
  <si>
    <t xml:space="preserve">Balsamic Glaze</t>
  </si>
  <si>
    <t xml:space="preserve">Ranch Powder</t>
  </si>
  <si>
    <t xml:space="preserve">Franks Hot Sauce</t>
  </si>
  <si>
    <t xml:space="preserve">Chipotle Pepper</t>
  </si>
  <si>
    <t xml:space="preserve">Cajun Seasoning</t>
  </si>
  <si>
    <t xml:space="preserve">Red Wine Vinegar</t>
  </si>
  <si>
    <t xml:space="preserve">Leaf Basil</t>
  </si>
  <si>
    <t xml:space="preserve">Granulated Sugar</t>
  </si>
  <si>
    <t xml:space="preserve">Brown Sugar</t>
  </si>
  <si>
    <t xml:space="preserve">Ponzu Sauce</t>
  </si>
  <si>
    <t>Panko</t>
  </si>
  <si>
    <t>Flour</t>
  </si>
  <si>
    <t xml:space="preserve">Lemon Pepper Seasoning</t>
  </si>
  <si>
    <t>Paprika</t>
  </si>
  <si>
    <t>Cayenne</t>
  </si>
  <si>
    <t xml:space="preserve">Ground Black Pepper</t>
  </si>
  <si>
    <t xml:space="preserve">Kosher Salt</t>
  </si>
  <si>
    <t xml:space="preserve">Granulated Garlic</t>
  </si>
  <si>
    <t xml:space="preserve">Blue Cheese Powder</t>
  </si>
  <si>
    <t xml:space="preserve">Teriyaki Sauce</t>
  </si>
  <si>
    <t xml:space="preserve">Worstershire Sauce</t>
  </si>
  <si>
    <t>Nutella</t>
  </si>
  <si>
    <t xml:space="preserve">Dry Oregano</t>
  </si>
  <si>
    <t xml:space="preserve">Balsamic Dressing</t>
  </si>
  <si>
    <t xml:space="preserve">Caesar Dressing</t>
  </si>
  <si>
    <t xml:space="preserve">French Fries</t>
  </si>
  <si>
    <t xml:space="preserve">LG Gloves</t>
  </si>
  <si>
    <t xml:space="preserve">Aluminum Foil Sheets 17x10</t>
  </si>
  <si>
    <t xml:space="preserve">White Wine Vinegar</t>
  </si>
  <si>
    <t xml:space="preserve">Cavatappi Pasta</t>
  </si>
  <si>
    <t xml:space="preserve">Ziploc Bags</t>
  </si>
  <si>
    <t xml:space="preserve">Label Dissolvable </t>
  </si>
  <si>
    <t>Hairnets</t>
  </si>
  <si>
    <t xml:space="preserve">LG TO GO Containters 8x8x3 </t>
  </si>
  <si>
    <t xml:space="preserve">       GFS</t>
  </si>
  <si>
    <t xml:space="preserve">PAPER  AND CONSUMABLES</t>
  </si>
  <si>
    <t>Clamshells</t>
  </si>
  <si>
    <t xml:space="preserve">Sandwich Wedges</t>
  </si>
  <si>
    <t>Napkins</t>
  </si>
  <si>
    <t xml:space="preserve">Water Cups</t>
  </si>
  <si>
    <t xml:space="preserve">Water Lids</t>
  </si>
  <si>
    <t xml:space="preserve">Coffee Cups</t>
  </si>
  <si>
    <t xml:space="preserve">Coffee Lids</t>
  </si>
  <si>
    <t>Straws</t>
  </si>
  <si>
    <t xml:space="preserve">Toilet Paper</t>
  </si>
  <si>
    <t xml:space="preserve">Paper Towels</t>
  </si>
  <si>
    <t xml:space="preserve">Aluminum Foil</t>
  </si>
  <si>
    <t xml:space="preserve">Hot Dog Trays</t>
  </si>
  <si>
    <t xml:space="preserve">Trash Bags</t>
  </si>
  <si>
    <t xml:space="preserve">Dishwasher Detergent</t>
  </si>
  <si>
    <t>Sanitizer</t>
  </si>
  <si>
    <t xml:space="preserve">Portion Cups</t>
  </si>
  <si>
    <t xml:space="preserve">Corn Tortillas</t>
  </si>
  <si>
    <t xml:space="preserve">Portion Lids</t>
  </si>
  <si>
    <t xml:space="preserve">SODA BIBS</t>
  </si>
  <si>
    <t>Beer</t>
  </si>
  <si>
    <t>Vendor</t>
  </si>
  <si>
    <t>Water</t>
  </si>
  <si>
    <t xml:space="preserve">Bottled Coke</t>
  </si>
  <si>
    <t xml:space="preserve">Canned Coke</t>
  </si>
  <si>
    <t xml:space="preserve">Receipt Paper</t>
  </si>
  <si>
    <t xml:space="preserve">Small Straws</t>
  </si>
  <si>
    <t xml:space="preserve">Napkins Table Dispenser</t>
  </si>
  <si>
    <t xml:space="preserve">Napkins Silverware Roll</t>
  </si>
  <si>
    <t>Fiji</t>
  </si>
  <si>
    <t>Perrier</t>
  </si>
  <si>
    <t>Kegs</t>
  </si>
  <si>
    <t xml:space="preserve">Multi-Fold Napkins</t>
  </si>
  <si>
    <t>Coffee</t>
  </si>
  <si>
    <t xml:space="preserve">Plastic Bags</t>
  </si>
  <si>
    <t>Limes</t>
  </si>
  <si>
    <t>Lemons</t>
  </si>
  <si>
    <t xml:space="preserve">Coffee Creamer</t>
  </si>
  <si>
    <t xml:space="preserve">Beverage Order Sheet</t>
  </si>
  <si>
    <t>DISTRIBUTOR</t>
  </si>
  <si>
    <t>LIQUOR</t>
  </si>
  <si>
    <t>Vodkas</t>
  </si>
  <si>
    <t>Case</t>
  </si>
  <si>
    <t>Titos</t>
  </si>
  <si>
    <t>Smirnoff</t>
  </si>
  <si>
    <t xml:space="preserve">Smirnoff Blueberry</t>
  </si>
  <si>
    <t>Bottle</t>
  </si>
  <si>
    <t xml:space="preserve">Smirnoff Raspberry</t>
  </si>
  <si>
    <t xml:space="preserve">Smirnoff Citrus</t>
  </si>
  <si>
    <t xml:space="preserve">Smirnoff Apple</t>
  </si>
  <si>
    <t xml:space="preserve">Smirnoff Peach</t>
  </si>
  <si>
    <t xml:space="preserve">Smirnoff Vanilla</t>
  </si>
  <si>
    <t xml:space="preserve">Smirnoff Watermelon</t>
  </si>
  <si>
    <t xml:space="preserve">Grey Goose</t>
  </si>
  <si>
    <t xml:space="preserve">Kettle One</t>
  </si>
  <si>
    <t>Tequilas</t>
  </si>
  <si>
    <t>Patron</t>
  </si>
  <si>
    <t xml:space="preserve">Don Julio Blanco</t>
  </si>
  <si>
    <t xml:space="preserve">Don Julio Reposado</t>
  </si>
  <si>
    <t xml:space="preserve">Don Julio Anjeo</t>
  </si>
  <si>
    <t xml:space="preserve">Casamigos Blanco</t>
  </si>
  <si>
    <t xml:space="preserve">Casamigos Reposado</t>
  </si>
  <si>
    <t xml:space="preserve">Clase Azul Plato</t>
  </si>
  <si>
    <t xml:space="preserve">Clasa Azul Reposado</t>
  </si>
  <si>
    <t>Sauza</t>
  </si>
  <si>
    <t>Gins</t>
  </si>
  <si>
    <t>Bombay</t>
  </si>
  <si>
    <t>Tangueray</t>
  </si>
  <si>
    <t>Empress</t>
  </si>
  <si>
    <t>Hendricks</t>
  </si>
  <si>
    <t>Whiskey/Scotch</t>
  </si>
  <si>
    <t xml:space="preserve">Jack Daniels</t>
  </si>
  <si>
    <t xml:space="preserve">Crown Royal</t>
  </si>
  <si>
    <t xml:space="preserve">Crown Royal Vanilla</t>
  </si>
  <si>
    <t xml:space="preserve">Crown Royal Peach</t>
  </si>
  <si>
    <t xml:space="preserve">Crown Royal Apple</t>
  </si>
  <si>
    <t>Fireball</t>
  </si>
  <si>
    <t>Jameson</t>
  </si>
  <si>
    <t xml:space="preserve">Jameson Orange</t>
  </si>
  <si>
    <t>Skrewball</t>
  </si>
  <si>
    <t xml:space="preserve">Makers Mark</t>
  </si>
  <si>
    <t>Woodford</t>
  </si>
  <si>
    <t>Bulleit</t>
  </si>
  <si>
    <t xml:space="preserve">Angels Envy</t>
  </si>
  <si>
    <t>Templeton</t>
  </si>
  <si>
    <t>Dewars</t>
  </si>
  <si>
    <t>Glenlivet</t>
  </si>
  <si>
    <t xml:space="preserve">Johnnie Walker Black</t>
  </si>
  <si>
    <t>Oban</t>
  </si>
  <si>
    <t>Macallen</t>
  </si>
  <si>
    <t xml:space="preserve">Remy Martin</t>
  </si>
  <si>
    <t>Rums</t>
  </si>
  <si>
    <t xml:space="preserve">Cruzan Dark</t>
  </si>
  <si>
    <t xml:space="preserve">Captain Morgan</t>
  </si>
  <si>
    <t xml:space="preserve">Don Q Cristal</t>
  </si>
  <si>
    <t xml:space="preserve">Don Q Pina</t>
  </si>
  <si>
    <t xml:space="preserve">Don Q Passion</t>
  </si>
  <si>
    <t>Cordials</t>
  </si>
  <si>
    <t xml:space="preserve">Grand Marnier</t>
  </si>
  <si>
    <t>Aperol</t>
  </si>
  <si>
    <t xml:space="preserve">St. Germain</t>
  </si>
  <si>
    <t xml:space="preserve">Luxardo Amaretto</t>
  </si>
  <si>
    <t xml:space="preserve">Amaro Averna</t>
  </si>
  <si>
    <t>Bailys</t>
  </si>
  <si>
    <t>Kaluha</t>
  </si>
  <si>
    <t xml:space="preserve">Ancho Reyes </t>
  </si>
  <si>
    <t xml:space="preserve">Margarita Mix</t>
  </si>
  <si>
    <t xml:space="preserve">Bloody Mary Mix</t>
  </si>
  <si>
    <t xml:space="preserve">Ginger Beer</t>
  </si>
  <si>
    <t xml:space="preserve">Blueberry Liquor</t>
  </si>
  <si>
    <t xml:space="preserve">Apple Pucker</t>
  </si>
  <si>
    <t xml:space="preserve">Watermelon Liquor</t>
  </si>
  <si>
    <t xml:space="preserve">Raspberry Liquor</t>
  </si>
  <si>
    <t>Amaretto</t>
  </si>
  <si>
    <t xml:space="preserve">Blue Curacao</t>
  </si>
  <si>
    <t xml:space="preserve">Peach Schnapps</t>
  </si>
  <si>
    <t xml:space="preserve">Lime Juice</t>
  </si>
  <si>
    <t xml:space="preserve">Simple Syrup</t>
  </si>
  <si>
    <t xml:space="preserve">Martini Vermouth</t>
  </si>
  <si>
    <t xml:space="preserve">Martini Vermouth X Dry</t>
  </si>
  <si>
    <t xml:space="preserve">Triple Sec</t>
  </si>
  <si>
    <t xml:space="preserve">BOTTLE BEER</t>
  </si>
  <si>
    <t xml:space="preserve">Miller Lite</t>
  </si>
  <si>
    <t xml:space="preserve">Coors Lite</t>
  </si>
  <si>
    <t xml:space="preserve">Mich Ultra</t>
  </si>
  <si>
    <t xml:space="preserve">Bud Light</t>
  </si>
  <si>
    <t>Budweiser</t>
  </si>
  <si>
    <t>Corona</t>
  </si>
  <si>
    <t>Modelo</t>
  </si>
  <si>
    <t>Heineken</t>
  </si>
  <si>
    <t xml:space="preserve">Heinekn Zero</t>
  </si>
  <si>
    <t>Stella</t>
  </si>
  <si>
    <t>Yeungling</t>
  </si>
  <si>
    <t xml:space="preserve">Jai Alai</t>
  </si>
  <si>
    <t xml:space="preserve">Athletic Run</t>
  </si>
  <si>
    <t>Rtds</t>
  </si>
  <si>
    <t xml:space="preserve">High noon Pineapple</t>
  </si>
  <si>
    <t xml:space="preserve">High noon Watermelon</t>
  </si>
  <si>
    <t xml:space="preserve">High noon Black Cherry</t>
  </si>
  <si>
    <t xml:space="preserve">High noon Passion Fruit</t>
  </si>
  <si>
    <t xml:space="preserve">High noon Lime</t>
  </si>
  <si>
    <t xml:space="preserve">High noon Tequila Lime</t>
  </si>
  <si>
    <t xml:space="preserve">High noon TequilaGrapefruit</t>
  </si>
  <si>
    <t xml:space="preserve">Surfside Lemonade</t>
  </si>
  <si>
    <t xml:space="preserve">Surfside Tea + Lemonade</t>
  </si>
  <si>
    <t xml:space="preserve">Surfside Tea </t>
  </si>
  <si>
    <t>WINE</t>
  </si>
  <si>
    <t>Josh</t>
  </si>
  <si>
    <t>Inscription</t>
  </si>
  <si>
    <t>Meiomi</t>
  </si>
  <si>
    <t xml:space="preserve">Chateu St. Michelle</t>
  </si>
  <si>
    <t>Prisoner</t>
  </si>
  <si>
    <t xml:space="preserve">Stave &amp; Steel</t>
  </si>
  <si>
    <t xml:space="preserve">Kim Crawford</t>
  </si>
  <si>
    <t xml:space="preserve">Santa Margarita</t>
  </si>
  <si>
    <t xml:space="preserve">J. Lohr</t>
  </si>
  <si>
    <t>Masi</t>
  </si>
  <si>
    <t xml:space="preserve">Veuve Clicquot</t>
  </si>
  <si>
    <t xml:space="preserve">Luxe Belaire White</t>
  </si>
  <si>
    <t xml:space="preserve">Luxe Belaire Rose</t>
  </si>
  <si>
    <t xml:space="preserve">Santa Margarita Prosecco</t>
  </si>
  <si>
    <t xml:space="preserve">Ruffino Prosecco</t>
  </si>
  <si>
    <t xml:space="preserve">Capriccio Sangria</t>
  </si>
  <si>
    <t xml:space="preserve">Blue Mascato</t>
  </si>
  <si>
    <t>NAB</t>
  </si>
  <si>
    <t xml:space="preserve">Powerade Red</t>
  </si>
  <si>
    <t xml:space="preserve">Powerade Blue</t>
  </si>
  <si>
    <t xml:space="preserve">Powerade Purple</t>
  </si>
  <si>
    <t xml:space="preserve">Powerade Orange</t>
  </si>
  <si>
    <t xml:space="preserve">Powerade Yellow</t>
  </si>
  <si>
    <t xml:space="preserve">Powerade SF Red</t>
  </si>
  <si>
    <t xml:space="preserve">Powerade SF Blue</t>
  </si>
  <si>
    <t xml:space="preserve">Powerade SF Purple</t>
  </si>
  <si>
    <t xml:space="preserve">Powerade SF Orange</t>
  </si>
  <si>
    <t xml:space="preserve">Powerade SF Yellow</t>
  </si>
  <si>
    <t xml:space="preserve">Bottle Unsweet Tea</t>
  </si>
  <si>
    <t xml:space="preserve">Bottle Sweet Tea</t>
  </si>
  <si>
    <t xml:space="preserve">Bottle Coke</t>
  </si>
  <si>
    <t xml:space="preserve">Bottle Diet Coke</t>
  </si>
  <si>
    <t xml:space="preserve">Bottle Coke Zero</t>
  </si>
  <si>
    <t xml:space="preserve">Bottle Sprite</t>
  </si>
  <si>
    <t xml:space="preserve">BIB Coke</t>
  </si>
  <si>
    <t>Each</t>
  </si>
  <si>
    <t xml:space="preserve">BIB Diet Coke</t>
  </si>
  <si>
    <t xml:space="preserve">BIB Coke Zero</t>
  </si>
  <si>
    <t xml:space="preserve">BIB Sprite</t>
  </si>
  <si>
    <t xml:space="preserve">BIB Ginger Ale</t>
  </si>
  <si>
    <t xml:space="preserve">Can Coke</t>
  </si>
  <si>
    <t xml:space="preserve">Can Diet Coke</t>
  </si>
  <si>
    <t xml:space="preserve">Can Sprite</t>
  </si>
  <si>
    <t xml:space="preserve">Can Gingerale</t>
  </si>
  <si>
    <t xml:space="preserve">Arizona Arnold Palmer</t>
  </si>
  <si>
    <t xml:space="preserve">Tonic Cans</t>
  </si>
  <si>
    <t xml:space="preserve">Club Soda Cans</t>
  </si>
  <si>
    <t>Redbull</t>
  </si>
  <si>
    <t xml:space="preserve">Redbull Suger Free</t>
  </si>
  <si>
    <t xml:space="preserve">Redbull Yellow</t>
  </si>
  <si>
    <t xml:space="preserve">Redbull Blue</t>
  </si>
  <si>
    <t xml:space="preserve">Redbull White</t>
  </si>
  <si>
    <t xml:space="preserve">Redbull Peach</t>
  </si>
  <si>
    <t xml:space="preserve">Redbull Sugar Free Peach</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</si>
</sst>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_(\$* #,##0.00_);_(\$* \(#,##0.00\);_(\$* \-??_);_(@_)"/>
    <numFmt numFmtId="165" formatCode="m/d;@"/>
    <numFmt numFmtId="166" formatCode="#,##0.0_);\(#,##0.0\)"/>
  </numFmts>
  <fonts count="11">
    <font>
      <sz val="10.000000"/>
      <color theme="1"/>
      <name val="Arial"/>
    </font>
    <font>
      <b/>
      <sz val="10.000000"/>
      <name val="Arial"/>
    </font>
    <font>
      <b/>
      <sz val="18.000000"/>
      <color indexed="2"/>
      <name val="Arial"/>
    </font>
    <font>
      <b/>
      <sz val="10.000000"/>
      <color indexed="2"/>
      <name val="Arial"/>
    </font>
    <font>
      <sz val="8.000000"/>
      <name val="Times New Roman"/>
    </font>
    <font>
      <b/>
      <sz val="8.000000"/>
      <name val="Arial"/>
    </font>
    <font>
      <b/>
      <sz val="14.000000"/>
      <name val="Arial"/>
    </font>
    <font>
      <b/>
      <sz val="10.000000"/>
      <color indexed="65"/>
      <name val="Arial"/>
    </font>
    <font>
      <b/>
      <sz val="14.000000"/>
      <color indexed="65"/>
      <name val="Arial"/>
    </font>
    <font>
      <sz val="10.000000"/>
      <name val="Arial"/>
    </font>
    <font>
      <b/>
      <sz val="14.000000"/>
      <color theme="1"/>
      <name val="Arial"/>
    </font>
  </fonts>
  <fills count="6">
    <fill>
      <patternFill patternType="none"/>
    </fill>
    <fill>
      <patternFill patternType="gray125"/>
    </fill>
    <fill>
      <patternFill patternType="solid">
        <fgColor indexed="65"/>
        <bgColor indexed="26"/>
      </patternFill>
    </fill>
    <fill>
      <patternFill patternType="solid">
        <fgColor rgb="FFCADCEE"/>
        <bgColor rgb="FFB4C9E2"/>
      </patternFill>
    </fill>
    <fill>
      <patternFill patternType="solid">
        <fgColor rgb="FF376091"/>
        <bgColor indexed="62"/>
      </patternFill>
    </fill>
    <fill>
      <patternFill patternType="solid">
        <fgColor rgb="FFB4C9E2"/>
        <bgColor indexed="44"/>
      </patternFill>
    </fill>
  </fills>
  <borders count="36">
    <border>
      <left style="none"/>
      <right style="none"/>
      <top style="none"/>
      <bottom style="none"/>
      <diagonal style="none"/>
    </border>
    <border>
      <left style="medium">
        <color auto="1"/>
      </left>
      <right style="none"/>
      <top style="medium">
        <color auto="1"/>
      </top>
      <bottom style="none"/>
      <diagonal style="none"/>
    </border>
    <border>
      <left style="medium">
        <color auto="1"/>
      </left>
      <right style="medium">
        <color auto="1"/>
      </right>
      <top style="medium">
        <color auto="1"/>
      </top>
      <bottom style="thin">
        <color auto="1"/>
      </bottom>
      <diagonal style="none"/>
    </border>
    <border>
      <left style="medium">
        <color auto="1"/>
      </left>
      <right style="none"/>
      <top style="medium">
        <color auto="1"/>
      </top>
      <bottom style="thin">
        <color auto="1"/>
      </bottom>
      <diagonal style="none"/>
    </border>
    <border>
      <left style="medium">
        <color auto="1"/>
      </left>
      <right style="medium">
        <color auto="1"/>
      </right>
      <top style="medium">
        <color auto="1"/>
      </top>
      <bottom style="none"/>
      <diagonal style="none"/>
    </border>
    <border>
      <left style="medium">
        <color auto="1"/>
      </left>
      <right style="none"/>
      <top style="none"/>
      <bottom style="none"/>
      <diagonal style="none"/>
    </border>
    <border>
      <left style="thin">
        <color auto="1"/>
      </left>
      <right style="medium">
        <color auto="1"/>
      </right>
      <top style="thin">
        <color auto="1"/>
      </top>
      <bottom style="none"/>
      <diagonal style="none"/>
    </border>
    <border>
      <left style="medium">
        <color auto="1"/>
      </left>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none"/>
      <right style="none"/>
      <top style="medium">
        <color auto="1"/>
      </top>
      <bottom style="medium">
        <color auto="1"/>
      </bottom>
      <diagonal style="none"/>
    </border>
    <border>
      <left style="medium">
        <color auto="1"/>
      </left>
      <right style="medium">
        <color auto="1"/>
      </right>
      <top style="medium">
        <color auto="1"/>
      </top>
      <bottom style="medium">
        <color auto="1"/>
      </bottom>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medium">
        <color auto="1"/>
      </left>
      <right style="thin">
        <color auto="1"/>
      </right>
      <top style="none"/>
      <bottom style="thin">
        <color auto="1"/>
      </bottom>
      <diagonal style="none"/>
    </border>
    <border>
      <left style="thin">
        <color auto="1"/>
      </left>
      <right style="medium">
        <color auto="1"/>
      </right>
      <top style="none"/>
      <bottom style="thin">
        <color auto="1"/>
      </bottom>
      <diagonal style="none"/>
    </border>
    <border>
      <left style="medium">
        <color auto="1"/>
      </left>
      <right style="none"/>
      <top style="none"/>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medium">
        <color auto="1"/>
      </left>
      <right style="none"/>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thin">
        <color auto="1"/>
      </left>
      <right style="medium">
        <color auto="1"/>
      </right>
      <top style="medium">
        <color auto="1"/>
      </top>
      <bottom style="medium">
        <color auto="1"/>
      </bottom>
      <diagonal style="none"/>
    </border>
    <border>
      <left style="none"/>
      <right style="medium">
        <color auto="1"/>
      </right>
      <top style="thin">
        <color auto="1"/>
      </top>
      <bottom style="thin">
        <color auto="1"/>
      </bottom>
      <diagonal style="none"/>
    </border>
    <border>
      <left style="medium">
        <color auto="1"/>
      </left>
      <right style="none"/>
      <top style="thin">
        <color auto="1"/>
      </top>
      <bottom style="none"/>
      <diagonal style="none"/>
    </border>
    <border>
      <left style="thin">
        <color auto="1"/>
      </left>
      <right style="medium">
        <color auto="1"/>
      </right>
      <top style="thin">
        <color auto="1"/>
      </top>
      <bottom style="thin">
        <color auto="1"/>
      </bottom>
      <diagonal style="none"/>
    </border>
    <border>
      <left style="medium">
        <color auto="1"/>
      </left>
      <right style="medium">
        <color auto="1"/>
      </right>
      <top style="none"/>
      <bottom style="medium">
        <color auto="1"/>
      </bottom>
      <diagonal style="none"/>
    </border>
    <border>
      <left style="medium">
        <color auto="1"/>
      </left>
      <right style="medium">
        <color auto="1"/>
      </right>
      <top style="none"/>
      <bottom style="none"/>
      <diagonal style="none"/>
    </border>
    <border>
      <left style="medium">
        <color auto="1"/>
      </left>
      <right style="thin">
        <color auto="1"/>
      </right>
      <top style="none"/>
      <bottom style="none"/>
      <diagonal style="none"/>
    </border>
    <border>
      <left style="thin">
        <color auto="1"/>
      </left>
      <right style="medium">
        <color auto="1"/>
      </right>
      <top style="none"/>
      <bottom style="none"/>
      <diagonal style="none"/>
    </border>
    <border>
      <left style="medium">
        <color auto="1"/>
      </left>
      <right style="medium">
        <color auto="1"/>
      </right>
      <top style="thin">
        <color auto="1"/>
      </top>
      <bottom style="thin">
        <color auto="1"/>
      </bottom>
      <diagonal style="none"/>
    </border>
    <border>
      <left style="thin">
        <color auto="1"/>
      </left>
      <right style="none"/>
      <top style="thin">
        <color auto="1"/>
      </top>
      <bottom style="none"/>
      <diagonal style="none"/>
    </border>
    <border>
      <left style="none"/>
      <right style="medium">
        <color auto="1"/>
      </right>
      <top style="thin">
        <color auto="1"/>
      </top>
      <bottom style="none"/>
      <diagonal style="none"/>
    </border>
    <border>
      <left style="medium">
        <color auto="1"/>
      </left>
      <right style="medium">
        <color auto="1"/>
      </right>
      <top style="thin">
        <color auto="1"/>
      </top>
      <bottom style="medium">
        <color auto="1"/>
      </bottom>
      <diagonal style="none"/>
    </border>
    <border>
      <left style="thin">
        <color auto="1"/>
      </left>
      <right style="medium">
        <color auto="1"/>
      </right>
      <top style="medium">
        <color auto="1"/>
      </top>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medium">
        <color auto="1"/>
      </right>
      <top style="thin">
        <color auto="1"/>
      </top>
      <bottom style="medium">
        <color auto="1"/>
      </bottom>
      <diagonal style="none"/>
    </border>
  </borders>
  <cellStyleXfs count="1">
    <xf fontId="0" fillId="0" borderId="0" numFmtId="0" applyNumberFormat="1" applyFont="1" applyFill="1" applyBorder="1"/>
  </cellStyleXfs>
  <cellXfs count="145">
    <xf fontId="0" fillId="0" borderId="0" numFmtId="0" xfId="0"/>
    <xf fontId="1" fillId="2" borderId="0" numFmtId="0" xfId="0" applyFont="1" applyFill="1"/>
    <xf fontId="1" fillId="2" borderId="0" numFmtId="0" xfId="0" applyFont="1" applyFill="1" applyAlignment="1">
      <alignment horizontal="center"/>
    </xf>
    <xf fontId="1" fillId="2" borderId="0" numFmtId="164" xfId="0" applyNumberFormat="1" applyFont="1" applyFill="1" applyAlignment="1">
      <alignment horizontal="center"/>
    </xf>
    <xf fontId="1" fillId="2" borderId="0" numFmtId="164" xfId="0" applyNumberFormat="1" applyFont="1" applyFill="1" applyAlignment="1">
      <alignment horizontal="left"/>
    </xf>
    <xf fontId="2" fillId="2" borderId="0" numFmtId="0" xfId="0" applyFont="1" applyFill="1"/>
    <xf fontId="1" fillId="2" borderId="0" numFmtId="39" xfId="0" applyNumberFormat="1" applyFont="1" applyFill="1" applyAlignment="1">
      <alignment horizontal="center"/>
    </xf>
    <xf fontId="3" fillId="2" borderId="0" numFmtId="165" xfId="0" applyNumberFormat="1" applyFont="1" applyFill="1" applyAlignment="1">
      <alignment horizontal="center"/>
    </xf>
    <xf fontId="0" fillId="0" borderId="0" numFmtId="0" xfId="0" applyAlignment="1">
      <alignment horizontal="center"/>
    </xf>
    <xf fontId="4" fillId="0" borderId="0" numFmtId="0" xfId="0" applyFont="1"/>
    <xf fontId="5" fillId="2" borderId="0" numFmtId="0" xfId="0" applyFont="1" applyFill="1"/>
    <xf fontId="5" fillId="2" borderId="0" numFmtId="0" xfId="0" applyFont="1" applyFill="1" applyAlignment="1">
      <alignment horizontal="center"/>
    </xf>
    <xf fontId="6" fillId="2" borderId="1" numFmtId="0" xfId="0" applyFont="1" applyFill="1" applyBorder="1" applyAlignment="1">
      <alignment horizontal="center" vertical="center"/>
    </xf>
    <xf fontId="1" fillId="3" borderId="2" numFmtId="0" xfId="0" applyFont="1" applyFill="1" applyBorder="1" applyAlignment="1">
      <alignment horizontal="center"/>
    </xf>
    <xf fontId="1" fillId="3" borderId="3" numFmtId="39" xfId="0" applyNumberFormat="1" applyFont="1" applyFill="1" applyBorder="1" applyAlignment="1">
      <alignment horizontal="center"/>
    </xf>
    <xf fontId="7" fillId="4" borderId="4" numFmtId="164" xfId="0" applyNumberFormat="1" applyFont="1" applyFill="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164" xfId="0" applyNumberFormat="1" applyFont="1" applyBorder="1" applyAlignment="1">
      <alignment horizontal="center" vertical="center" wrapText="1"/>
    </xf>
    <xf fontId="1" fillId="2" borderId="5" numFmtId="39" xfId="0" applyNumberFormat="1" applyFont="1" applyFill="1" applyBorder="1" applyAlignment="1">
      <alignment horizontal="center" vertical="center" wrapText="1"/>
    </xf>
    <xf fontId="8" fillId="4" borderId="7" numFmtId="0" xfId="0" applyFont="1" applyFill="1" applyBorder="1" applyAlignment="1">
      <alignment horizontal="left"/>
    </xf>
    <xf fontId="8" fillId="4" borderId="8" numFmtId="0" xfId="0" applyFont="1" applyFill="1" applyBorder="1" applyAlignment="1">
      <alignment horizontal="left"/>
    </xf>
    <xf fontId="1" fillId="5" borderId="7" numFmtId="0" xfId="0" applyFont="1" applyFill="1" applyBorder="1" applyAlignment="1">
      <alignment horizontal="center" vertical="center" wrapText="1"/>
    </xf>
    <xf fontId="1" fillId="5" borderId="9" numFmtId="0" xfId="0" applyFont="1" applyFill="1" applyBorder="1" applyAlignment="1">
      <alignment horizontal="center" vertical="center" wrapText="1"/>
    </xf>
    <xf fontId="1" fillId="5" borderId="9" numFmtId="164" xfId="0" applyNumberFormat="1" applyFont="1" applyFill="1" applyBorder="1" applyAlignment="1">
      <alignment horizontal="center" vertical="center" wrapText="1"/>
    </xf>
    <xf fontId="1" fillId="5" borderId="9" numFmtId="39" xfId="0" applyNumberFormat="1" applyFont="1" applyFill="1" applyBorder="1" applyAlignment="1">
      <alignment horizontal="center" vertical="center" wrapText="1"/>
    </xf>
    <xf fontId="1" fillId="5" borderId="10" numFmtId="164" xfId="0" applyNumberFormat="1" applyFont="1" applyFill="1" applyBorder="1" applyAlignment="1">
      <alignment horizontal="center" vertical="center" wrapText="1"/>
    </xf>
    <xf fontId="1" fillId="2" borderId="0" numFmtId="0" xfId="0" applyFont="1" applyFill="1" applyAlignment="1">
      <alignment wrapText="1"/>
    </xf>
    <xf fontId="0" fillId="0" borderId="11" numFmtId="0" xfId="0" applyBorder="1"/>
    <xf fontId="9" fillId="2" borderId="12" numFmtId="0" xfId="0" applyFont="1" applyFill="1" applyBorder="1"/>
    <xf fontId="9" fillId="2" borderId="13" numFmtId="0" xfId="0" applyFont="1" applyFill="1" applyBorder="1" applyAlignment="1">
      <alignment horizontal="center"/>
    </xf>
    <xf fontId="9" fillId="2" borderId="12" numFmtId="0" xfId="0" applyFont="1" applyFill="1" applyBorder="1" applyAlignment="1">
      <alignment horizontal="center"/>
    </xf>
    <xf fontId="9" fillId="2" borderId="14" numFmtId="1" xfId="0" applyNumberFormat="1" applyFont="1" applyFill="1" applyBorder="1" applyAlignment="1">
      <alignment horizontal="center"/>
    </xf>
    <xf fontId="9" fillId="2" borderId="15" numFmtId="0" xfId="0" applyFont="1" applyFill="1" applyBorder="1" applyAlignment="1">
      <alignment horizontal="center"/>
    </xf>
    <xf fontId="1" fillId="0" borderId="10" numFmtId="164" xfId="0" applyNumberFormat="1" applyFont="1" applyBorder="1" applyAlignment="1">
      <alignment horizontal="center" wrapText="1"/>
    </xf>
    <xf fontId="1" fillId="2" borderId="16" numFmtId="0" xfId="0" applyFont="1" applyFill="1" applyBorder="1" applyAlignment="1">
      <alignment wrapText="1"/>
    </xf>
    <xf fontId="1" fillId="2" borderId="17" numFmtId="0" xfId="0" applyFont="1" applyFill="1" applyBorder="1" applyAlignment="1">
      <alignment wrapText="1"/>
    </xf>
    <xf fontId="1" fillId="2" borderId="0" numFmtId="2" xfId="0" applyNumberFormat="1" applyFont="1" applyFill="1" applyAlignment="1">
      <alignment horizontal="center" wrapText="1"/>
    </xf>
    <xf fontId="9" fillId="2" borderId="18" numFmtId="0" xfId="0" applyFont="1" applyFill="1" applyBorder="1" applyAlignment="1">
      <alignment horizontal="center"/>
    </xf>
    <xf fontId="9" fillId="0" borderId="11" numFmtId="0" xfId="0" applyFont="1" applyBorder="1"/>
    <xf fontId="9" fillId="2" borderId="11" numFmtId="0" xfId="0" applyFont="1" applyFill="1" applyBorder="1"/>
    <xf fontId="1" fillId="2" borderId="19" numFmtId="0" xfId="0" applyFont="1" applyFill="1" applyBorder="1" applyAlignment="1">
      <alignment wrapText="1"/>
    </xf>
    <xf fontId="1" fillId="2" borderId="20" numFmtId="0" xfId="0" applyFont="1" applyFill="1" applyBorder="1" applyAlignment="1">
      <alignment wrapText="1"/>
    </xf>
    <xf fontId="1" fillId="0" borderId="10" numFmtId="164" xfId="0" applyNumberFormat="1" applyFont="1" applyBorder="1" applyAlignment="1">
      <alignment horizontal="left" wrapText="1"/>
    </xf>
    <xf fontId="8" fillId="4" borderId="10" numFmtId="0" xfId="0" applyFont="1" applyFill="1" applyBorder="1" applyAlignment="1">
      <alignment horizontal="left"/>
    </xf>
    <xf fontId="1" fillId="3" borderId="4" numFmtId="0" xfId="0" applyFont="1" applyFill="1" applyBorder="1" applyAlignment="1">
      <alignment horizontal="center"/>
    </xf>
    <xf fontId="1" fillId="3" borderId="1" numFmtId="39" xfId="0" applyNumberFormat="1" applyFont="1" applyFill="1" applyBorder="1" applyAlignment="1">
      <alignment horizontal="center"/>
    </xf>
    <xf fontId="1" fillId="2" borderId="16" numFmtId="0" xfId="0" applyFont="1" applyFill="1" applyBorder="1" applyAlignment="1">
      <alignment horizontal="center"/>
    </xf>
    <xf fontId="1" fillId="2" borderId="17" numFmtId="0" xfId="0" applyFont="1" applyFill="1" applyBorder="1" applyAlignment="1">
      <alignment horizontal="center"/>
    </xf>
    <xf fontId="1" fillId="0" borderId="7" numFmtId="0" xfId="0" applyFont="1" applyBorder="1" applyAlignment="1">
      <alignment horizontal="center" vertical="center" wrapText="1"/>
    </xf>
    <xf fontId="1" fillId="0" borderId="9" numFmtId="0" xfId="0" applyFont="1" applyBorder="1" applyAlignment="1">
      <alignment horizontal="center" vertical="center" wrapText="1"/>
    </xf>
    <xf fontId="1" fillId="0" borderId="21" numFmtId="164" xfId="0" applyNumberFormat="1" applyFont="1" applyBorder="1" applyAlignment="1">
      <alignment horizontal="center" vertical="center" wrapText="1"/>
    </xf>
    <xf fontId="1" fillId="2" borderId="7" numFmtId="39" xfId="0" applyNumberFormat="1" applyFont="1" applyFill="1" applyBorder="1" applyAlignment="1">
      <alignment horizontal="center" vertical="center" wrapText="1"/>
    </xf>
    <xf fontId="9" fillId="2" borderId="22" numFmtId="0" xfId="0" applyFont="1" applyFill="1" applyBorder="1"/>
    <xf fontId="9" fillId="2" borderId="23" numFmtId="0" xfId="0" applyFont="1" applyFill="1" applyBorder="1" applyAlignment="1">
      <alignment horizontal="center"/>
    </xf>
    <xf fontId="9" fillId="2" borderId="19" numFmtId="0" xfId="0" applyFont="1" applyFill="1" applyBorder="1"/>
    <xf fontId="9" fillId="2" borderId="16" numFmtId="0" xfId="0" applyFont="1" applyFill="1" applyBorder="1" applyAlignment="1">
      <alignment horizontal="center"/>
    </xf>
    <xf fontId="9" fillId="2" borderId="17" numFmtId="0" xfId="0" applyFont="1" applyFill="1" applyBorder="1" applyAlignment="1">
      <alignment horizontal="center"/>
    </xf>
    <xf fontId="9" fillId="2" borderId="24" numFmtId="1" xfId="0" applyNumberFormat="1" applyFont="1" applyFill="1" applyBorder="1" applyAlignment="1">
      <alignment horizontal="center"/>
    </xf>
    <xf fontId="9" fillId="2" borderId="20" numFmtId="0" xfId="0" applyFont="1" applyFill="1" applyBorder="1" applyAlignment="1">
      <alignment horizontal="center"/>
    </xf>
    <xf fontId="1" fillId="0" borderId="25" numFmtId="164" xfId="0" applyNumberFormat="1" applyFont="1" applyBorder="1" applyAlignment="1">
      <alignment horizontal="center" wrapText="1"/>
    </xf>
    <xf fontId="8" fillId="4" borderId="25" numFmtId="0" xfId="0" applyFont="1" applyFill="1" applyBorder="1" applyAlignment="1">
      <alignment horizontal="left"/>
    </xf>
    <xf fontId="1" fillId="3" borderId="26" numFmtId="0" xfId="0" applyFont="1" applyFill="1" applyBorder="1" applyAlignment="1">
      <alignment horizontal="center"/>
    </xf>
    <xf fontId="1" fillId="3" borderId="5" numFmtId="39" xfId="0" applyNumberFormat="1" applyFont="1" applyFill="1" applyBorder="1" applyAlignment="1">
      <alignment horizontal="center"/>
    </xf>
    <xf fontId="7" fillId="4" borderId="26" numFmtId="164" xfId="0" applyNumberFormat="1" applyFont="1" applyFill="1" applyBorder="1" applyAlignment="1">
      <alignment horizontal="center" vertical="center" wrapText="1"/>
    </xf>
    <xf fontId="8" fillId="4" borderId="10" numFmtId="0" xfId="0" applyFont="1" applyFill="1" applyBorder="1" applyAlignment="1">
      <alignment horizontal="left" wrapText="1"/>
    </xf>
    <xf fontId="1" fillId="2" borderId="10" numFmtId="164" xfId="0" applyNumberFormat="1" applyFont="1" applyFill="1" applyBorder="1" applyAlignment="1">
      <alignment horizontal="center" wrapText="1"/>
    </xf>
    <xf fontId="1" fillId="2" borderId="10" numFmtId="164" xfId="0" applyNumberFormat="1" applyFont="1" applyFill="1" applyBorder="1" applyAlignment="1">
      <alignment horizontal="left" wrapText="1"/>
    </xf>
    <xf fontId="1" fillId="2" borderId="10" numFmtId="164" xfId="0" applyNumberFormat="1" applyFont="1" applyFill="1" applyBorder="1" applyAlignment="1">
      <alignment horizontal="center"/>
    </xf>
    <xf fontId="1" fillId="2" borderId="16" numFmtId="0" xfId="0" applyFont="1" applyFill="1" applyBorder="1"/>
    <xf fontId="1" fillId="2" borderId="17" numFmtId="0" xfId="0" applyFont="1" applyFill="1" applyBorder="1"/>
    <xf fontId="9" fillId="2" borderId="27" numFmtId="0" xfId="0" applyFont="1" applyFill="1" applyBorder="1" applyAlignment="1">
      <alignment horizontal="center"/>
    </xf>
    <xf fontId="9" fillId="2" borderId="0" numFmtId="0" xfId="0" applyFont="1" applyFill="1" applyAlignment="1">
      <alignment horizontal="center"/>
    </xf>
    <xf fontId="9" fillId="2" borderId="28" numFmtId="1" xfId="0" applyNumberFormat="1" applyFont="1" applyFill="1" applyBorder="1" applyAlignment="1">
      <alignment horizontal="center"/>
    </xf>
    <xf fontId="1" fillId="0" borderId="4" numFmtId="164" xfId="0" applyNumberFormat="1" applyFont="1" applyBorder="1" applyAlignment="1">
      <alignment horizontal="left" wrapText="1"/>
    </xf>
    <xf fontId="9" fillId="2" borderId="16" numFmtId="0" xfId="0" applyFont="1" applyFill="1" applyBorder="1"/>
    <xf fontId="9" fillId="2" borderId="17" numFmtId="1" xfId="0" applyNumberFormat="1" applyFont="1" applyFill="1" applyBorder="1" applyAlignment="1">
      <alignment horizontal="center"/>
    </xf>
    <xf fontId="9" fillId="2" borderId="19" numFmtId="0" xfId="0" applyFont="1" applyFill="1" applyBorder="1" applyAlignment="1">
      <alignment horizontal="center"/>
    </xf>
    <xf fontId="1" fillId="0" borderId="29" numFmtId="164" xfId="0" applyNumberFormat="1" applyFont="1" applyBorder="1" applyAlignment="1">
      <alignment horizontal="left" wrapText="1"/>
    </xf>
    <xf fontId="8" fillId="4" borderId="25" numFmtId="0" xfId="0" applyFont="1" applyFill="1" applyBorder="1" applyAlignment="1">
      <alignment horizontal="left" wrapText="1"/>
    </xf>
    <xf fontId="1" fillId="0" borderId="10" numFmtId="164" xfId="0" applyNumberFormat="1" applyFont="1" applyBorder="1" applyAlignment="1">
      <alignment horizontal="center"/>
    </xf>
    <xf fontId="1" fillId="0" borderId="4" numFmtId="164" xfId="0" applyNumberFormat="1" applyFont="1" applyBorder="1" applyAlignment="1">
      <alignment horizontal="center"/>
    </xf>
    <xf fontId="9" fillId="2" borderId="30" numFmtId="0" xfId="0" applyFont="1" applyFill="1" applyBorder="1"/>
    <xf fontId="9" fillId="2" borderId="31" numFmtId="0" xfId="0" applyFont="1" applyFill="1" applyBorder="1" applyAlignment="1">
      <alignment horizontal="center"/>
    </xf>
    <xf fontId="1" fillId="0" borderId="29" numFmtId="164" xfId="0" applyNumberFormat="1" applyFont="1" applyBorder="1" applyAlignment="1">
      <alignment horizontal="center" wrapText="1"/>
    </xf>
    <xf fontId="9" fillId="2" borderId="24" numFmtId="0" xfId="0" applyFont="1" applyFill="1" applyBorder="1" applyAlignment="1">
      <alignment wrapText="1"/>
    </xf>
    <xf fontId="1" fillId="2" borderId="17" numFmtId="0" xfId="0" applyFont="1" applyFill="1" applyBorder="1" applyAlignment="1">
      <alignment horizontal="center" wrapText="1"/>
    </xf>
    <xf fontId="1" fillId="2" borderId="24" numFmtId="1" xfId="0" applyNumberFormat="1" applyFont="1" applyFill="1" applyBorder="1" applyAlignment="1">
      <alignment horizontal="center" wrapText="1"/>
    </xf>
    <xf fontId="1" fillId="2" borderId="29" numFmtId="164" xfId="0" applyNumberFormat="1" applyFont="1" applyFill="1" applyBorder="1" applyAlignment="1">
      <alignment horizontal="center" wrapText="1"/>
    </xf>
    <xf fontId="7" fillId="0" borderId="16" numFmtId="0" xfId="0" applyFont="1" applyBorder="1" applyAlignment="1">
      <alignment wrapText="1"/>
    </xf>
    <xf fontId="7" fillId="0" borderId="17" numFmtId="0" xfId="0" applyFont="1" applyBorder="1" applyAlignment="1">
      <alignment wrapText="1"/>
    </xf>
    <xf fontId="7" fillId="0" borderId="24" numFmtId="1" xfId="0" applyNumberFormat="1" applyFont="1" applyBorder="1" applyAlignment="1">
      <alignment horizontal="center" wrapText="1"/>
    </xf>
    <xf fontId="7" fillId="0" borderId="20" numFmtId="164" xfId="0" applyNumberFormat="1" applyFont="1" applyBorder="1" applyAlignment="1">
      <alignment horizontal="left" wrapText="1"/>
    </xf>
    <xf fontId="1" fillId="0" borderId="16" numFmtId="0" xfId="0" applyFont="1" applyBorder="1" applyAlignment="1">
      <alignment horizontal="left" wrapText="1"/>
    </xf>
    <xf fontId="1" fillId="0" borderId="17" numFmtId="0" xfId="0" applyFont="1" applyBorder="1" applyAlignment="1">
      <alignment horizontal="left" wrapText="1"/>
    </xf>
    <xf fontId="1" fillId="0" borderId="24" numFmtId="1" xfId="0" applyNumberFormat="1" applyFont="1" applyBorder="1" applyAlignment="1">
      <alignment horizontal="center" wrapText="1"/>
    </xf>
    <xf fontId="1" fillId="0" borderId="20" numFmtId="0" xfId="0" applyFont="1" applyBorder="1" applyAlignment="1">
      <alignment wrapText="1"/>
    </xf>
    <xf fontId="9" fillId="2" borderId="24" numFmtId="0" xfId="0" applyFont="1" applyFill="1" applyBorder="1"/>
    <xf fontId="1" fillId="2" borderId="16" numFmtId="0" xfId="0" applyFont="1" applyFill="1" applyBorder="1" applyAlignment="1">
      <alignment horizontal="center" wrapText="1"/>
    </xf>
    <xf fontId="1" fillId="2" borderId="20" numFmtId="164" xfId="0" applyNumberFormat="1" applyFont="1" applyFill="1" applyBorder="1" applyAlignment="1">
      <alignment horizontal="left" wrapText="1"/>
    </xf>
    <xf fontId="1" fillId="2" borderId="24" numFmtId="1" xfId="0" applyNumberFormat="1" applyFont="1" applyFill="1" applyBorder="1" applyAlignment="1">
      <alignment horizontal="center"/>
    </xf>
    <xf fontId="1" fillId="2" borderId="20" numFmtId="164" xfId="0" applyNumberFormat="1" applyFont="1" applyFill="1" applyBorder="1" applyAlignment="1">
      <alignment horizontal="left"/>
    </xf>
    <xf fontId="1" fillId="2" borderId="32" numFmtId="164" xfId="0" applyNumberFormat="1" applyFont="1" applyFill="1" applyBorder="1" applyAlignment="1">
      <alignment horizontal="center"/>
    </xf>
    <xf fontId="1" fillId="0" borderId="0" numFmtId="0" xfId="0" applyFont="1"/>
    <xf fontId="1" fillId="0" borderId="0" numFmtId="0" xfId="0" applyFont="1" applyAlignment="1">
      <alignment horizontal="center"/>
    </xf>
    <xf fontId="1" fillId="0" borderId="0" numFmtId="164" xfId="0" applyNumberFormat="1" applyFont="1" applyAlignment="1">
      <alignment horizontal="left"/>
    </xf>
    <xf fontId="1" fillId="0" borderId="0" numFmtId="166" xfId="0" applyNumberFormat="1" applyFont="1" applyAlignment="1">
      <alignment horizontal="center"/>
    </xf>
    <xf fontId="1" fillId="0" borderId="0" numFmtId="39" xfId="0" applyNumberFormat="1" applyFont="1" applyAlignment="1">
      <alignment horizontal="center"/>
    </xf>
    <xf fontId="1" fillId="0" borderId="0" numFmtId="164" xfId="0" applyNumberFormat="1" applyFont="1"/>
    <xf fontId="1" fillId="2" borderId="0" numFmtId="166" xfId="0" applyNumberFormat="1" applyFont="1" applyFill="1" applyAlignment="1">
      <alignment horizontal="center"/>
    </xf>
    <xf fontId="1" fillId="2" borderId="0" numFmtId="164" xfId="0" applyNumberFormat="1" applyFont="1" applyFill="1"/>
    <xf fontId="3" fillId="2" borderId="10" numFmtId="165" xfId="0" applyNumberFormat="1" applyFont="1" applyFill="1" applyBorder="1" applyAlignment="1">
      <alignment horizontal="center"/>
    </xf>
    <xf fontId="1" fillId="2" borderId="0" numFmtId="0" xfId="0" applyFont="1" applyFill="1" applyAlignment="1">
      <alignment horizontal="center" wrapText="1"/>
    </xf>
    <xf fontId="1" fillId="2" borderId="0" numFmtId="166" xfId="0" applyNumberFormat="1" applyFont="1" applyFill="1" applyAlignment="1">
      <alignment horizontal="center" wrapText="1"/>
    </xf>
    <xf fontId="1" fillId="2" borderId="0" numFmtId="164" xfId="0" applyNumberFormat="1" applyFont="1" applyFill="1" applyAlignment="1">
      <alignment horizontal="center" wrapText="1"/>
    </xf>
    <xf fontId="6" fillId="2" borderId="4" numFmtId="0" xfId="0" applyFont="1" applyFill="1" applyBorder="1" applyAlignment="1">
      <alignment horizontal="center" vertical="center"/>
    </xf>
    <xf fontId="10" fillId="0" borderId="33" numFmtId="0" xfId="0" applyFont="1" applyBorder="1"/>
    <xf fontId="9" fillId="2" borderId="34" numFmtId="0" xfId="0" applyFont="1" applyFill="1" applyBorder="1" applyAlignment="1">
      <alignment horizontal="center"/>
    </xf>
    <xf fontId="9" fillId="2" borderId="24" numFmtId="164" xfId="0" applyNumberFormat="1" applyFont="1" applyFill="1" applyBorder="1" applyAlignment="1">
      <alignment horizontal="left"/>
    </xf>
    <xf fontId="9" fillId="0" borderId="20" numFmtId="166" xfId="0" applyNumberFormat="1" applyFont="1" applyBorder="1" applyAlignment="1">
      <alignment horizontal="center"/>
    </xf>
    <xf fontId="9" fillId="0" borderId="24" numFmtId="0" xfId="0" applyFont="1" applyBorder="1"/>
    <xf fontId="0" fillId="0" borderId="14" numFmtId="0" xfId="0" applyBorder="1"/>
    <xf fontId="0" fillId="0" borderId="24" numFmtId="0" xfId="0" applyBorder="1"/>
    <xf fontId="9" fillId="0" borderId="34" numFmtId="39" xfId="0" applyNumberFormat="1" applyFont="1" applyBorder="1" applyAlignment="1">
      <alignment horizontal="center"/>
    </xf>
    <xf fontId="1" fillId="2" borderId="34" numFmtId="0" xfId="0" applyFont="1" applyFill="1" applyBorder="1" applyAlignment="1">
      <alignment horizontal="center"/>
    </xf>
    <xf fontId="10" fillId="0" borderId="24" numFmtId="0" xfId="0" applyFont="1" applyBorder="1"/>
    <xf fontId="9" fillId="2" borderId="24" numFmtId="0" xfId="0" applyFont="1" applyFill="1" applyBorder="1" applyAlignment="1">
      <alignment horizontal="left"/>
    </xf>
    <xf fontId="6" fillId="2" borderId="24" numFmtId="0" xfId="0" applyFont="1" applyFill="1" applyBorder="1" applyAlignment="1">
      <alignment horizontal="left"/>
    </xf>
    <xf fontId="9" fillId="2" borderId="6" numFmtId="0" xfId="0" applyFont="1" applyFill="1" applyBorder="1" applyAlignment="1">
      <alignment horizontal="left"/>
    </xf>
    <xf fontId="6" fillId="2" borderId="6" numFmtId="0" xfId="0" applyFont="1" applyFill="1" applyBorder="1" applyAlignment="1">
      <alignment horizontal="left"/>
    </xf>
    <xf fontId="9" fillId="2" borderId="35" numFmtId="0" xfId="0" applyFont="1" applyFill="1" applyBorder="1"/>
    <xf fontId="7" fillId="4" borderId="4" numFmtId="0" xfId="0" applyFont="1" applyFill="1" applyBorder="1" applyAlignment="1">
      <alignment horizontal="center" vertical="center" wrapText="1"/>
    </xf>
    <xf fontId="9" fillId="2" borderId="33" numFmtId="0" xfId="0" applyFont="1" applyFill="1" applyBorder="1" applyAlignment="1">
      <alignment horizontal="left"/>
    </xf>
    <xf fontId="9" fillId="2" borderId="20" numFmtId="166" xfId="0" applyNumberFormat="1" applyFont="1" applyFill="1" applyBorder="1" applyAlignment="1">
      <alignment horizontal="center"/>
    </xf>
    <xf fontId="0" fillId="0" borderId="24" numFmtId="0" xfId="0" applyBorder="1"/>
    <xf fontId="1" fillId="2" borderId="24" numFmtId="0" xfId="0" applyFont="1" applyFill="1" applyBorder="1" applyAlignment="1">
      <alignment horizontal="left"/>
    </xf>
    <xf fontId="0" fillId="0" borderId="33" numFmtId="0" xfId="0" applyBorder="1"/>
    <xf fontId="9" fillId="0" borderId="19" numFmtId="0" xfId="0" applyFont="1" applyBorder="1"/>
    <xf fontId="0" fillId="0" borderId="20" numFmtId="0" xfId="0" applyBorder="1"/>
    <xf fontId="0" fillId="0" borderId="22" numFmtId="0" xfId="0" applyBorder="1"/>
    <xf fontId="7" fillId="0" borderId="0" numFmtId="0" xfId="0" applyFont="1"/>
    <xf fontId="7" fillId="0" borderId="0" numFmtId="164" xfId="0" applyNumberFormat="1" applyFont="1" applyAlignment="1">
      <alignment horizontal="left"/>
    </xf>
    <xf fontId="7" fillId="0" borderId="0" numFmtId="166" xfId="0" applyNumberFormat="1" applyFont="1"/>
    <xf fontId="1" fillId="0" borderId="0" numFmtId="166" xfId="0" applyNumberFormat="1" applyFont="1"/>
    <xf fontId="7" fillId="0" borderId="0" numFmtId="166"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50" workbookViewId="0">
      <selection activeCell="C2" activeCellId="0" sqref="C2"/>
    </sheetView>
  </sheetViews>
  <sheetFormatPr baseColWidth="10" defaultColWidth="9.1640625" defaultRowHeight="12.75"/>
  <cols>
    <col customWidth="1" min="1" max="2" style="1" width="3.5"/>
    <col customWidth="1" min="3" max="3" style="1" width="21.5"/>
    <col customWidth="1" min="4" max="4" style="1" width="12.6640625"/>
    <col customWidth="1" min="5" max="6" style="2" width="9.6640625"/>
    <col min="7" max="7" style="3" width="9.1640625"/>
    <col customWidth="1" min="8" max="8" style="4" width="13.5"/>
    <col customWidth="1" min="9" max="9" style="1" width="12.83203125"/>
    <col customWidth="1" hidden="1" min="10" max="14" style="1" width="11.5"/>
    <col min="15" max="16384" style="1" width="9.1640625"/>
  </cols>
  <sheetData>
    <row r="1" ht="21.75">
      <c r="C1" s="5" t="s">
        <v>0</v>
      </c>
      <c r="E1" s="1"/>
      <c r="F1" s="1"/>
      <c r="G1" s="2"/>
      <c r="H1" s="6"/>
      <c r="I1" s="4"/>
    </row>
    <row r="2">
      <c r="C2" s="1" t="s">
        <v>1</v>
      </c>
      <c r="E2" s="1"/>
      <c r="F2" s="1"/>
      <c r="G2" s="2"/>
      <c r="H2" s="6" t="s">
        <v>2</v>
      </c>
      <c r="I2" s="4"/>
    </row>
    <row r="3">
      <c r="D3" s="7"/>
      <c r="E3" s="1"/>
      <c r="F3" s="1"/>
      <c r="G3" s="8"/>
      <c r="H3" s="6"/>
      <c r="I3" s="4"/>
    </row>
    <row r="4">
      <c r="C4" s="9"/>
      <c r="D4" s="10"/>
      <c r="E4" s="11"/>
      <c r="F4" s="11"/>
    </row>
    <row r="5" s="2" customFormat="1" ht="17.25" customHeight="1">
      <c r="C5" s="12" t="s">
        <v>3</v>
      </c>
      <c r="D5" s="12"/>
      <c r="E5" s="13"/>
      <c r="F5" s="13"/>
      <c r="G5" s="13"/>
      <c r="H5" s="14"/>
      <c r="I5" s="15" t="s">
        <v>4</v>
      </c>
    </row>
    <row r="6" s="2" customFormat="1" ht="13.5" customHeight="1">
      <c r="C6" s="12"/>
      <c r="D6" s="12"/>
      <c r="E6" s="16" t="s">
        <v>5</v>
      </c>
      <c r="F6" s="17" t="s">
        <v>6</v>
      </c>
      <c r="G6" s="18" t="s">
        <v>7</v>
      </c>
      <c r="H6" s="19" t="s">
        <v>8</v>
      </c>
      <c r="I6" s="15"/>
      <c r="M6" s="2" t="s">
        <v>9</v>
      </c>
    </row>
    <row r="7" s="2" customFormat="1" ht="20.25" customHeight="1">
      <c r="C7" s="20" t="s">
        <v>10</v>
      </c>
      <c r="D7" s="21"/>
      <c r="E7" s="22"/>
      <c r="F7" s="23"/>
      <c r="G7" s="24"/>
      <c r="H7" s="25"/>
      <c r="I7" s="26"/>
      <c r="J7" s="2" t="s">
        <v>11</v>
      </c>
      <c r="K7" s="2" t="s">
        <v>12</v>
      </c>
      <c r="L7" s="2" t="s">
        <v>13</v>
      </c>
      <c r="M7" s="2" t="s">
        <v>14</v>
      </c>
      <c r="N7" s="2" t="s">
        <v>15</v>
      </c>
    </row>
    <row r="8" s="27" customFormat="1" ht="14">
      <c r="C8" s="28" t="s">
        <v>16</v>
      </c>
      <c r="D8" s="29"/>
      <c r="E8" s="30"/>
      <c r="F8" s="31"/>
      <c r="G8" s="32"/>
      <c r="H8" s="33"/>
      <c r="I8" s="34" t="s">
        <v>13</v>
      </c>
      <c r="J8" s="35"/>
      <c r="K8" s="36"/>
      <c r="L8" s="36"/>
      <c r="M8" s="36">
        <f t="shared" ref="M8:M18" si="0">MIN(J8:L8)</f>
        <v>0</v>
      </c>
      <c r="N8" s="37" t="e">
        <f t="shared" ref="N8:N18" si="1">SUM(M8/E8)</f>
        <v>#DIV/0!</v>
      </c>
    </row>
    <row r="9" s="27" customFormat="1" ht="14">
      <c r="C9" s="28" t="s">
        <v>17</v>
      </c>
      <c r="D9" s="29"/>
      <c r="E9" s="30"/>
      <c r="F9" s="31"/>
      <c r="G9" s="32"/>
      <c r="H9" s="38"/>
      <c r="I9" s="34" t="s">
        <v>13</v>
      </c>
      <c r="J9" s="35"/>
      <c r="K9" s="36"/>
      <c r="L9" s="36"/>
      <c r="M9" s="36">
        <f t="shared" si="0"/>
        <v>0</v>
      </c>
      <c r="N9" s="37" t="e">
        <f t="shared" si="1"/>
        <v>#DIV/0!</v>
      </c>
    </row>
    <row r="10" s="27" customFormat="1" ht="14">
      <c r="C10" s="28" t="s">
        <v>18</v>
      </c>
      <c r="D10" s="29"/>
      <c r="E10" s="30"/>
      <c r="F10" s="31"/>
      <c r="G10" s="32"/>
      <c r="H10" s="38"/>
      <c r="I10" s="34" t="s">
        <v>13</v>
      </c>
      <c r="J10" s="35"/>
      <c r="K10" s="36"/>
      <c r="L10" s="36"/>
      <c r="M10" s="36">
        <f t="shared" si="0"/>
        <v>0</v>
      </c>
      <c r="N10" s="37" t="e">
        <f t="shared" si="1"/>
        <v>#DIV/0!</v>
      </c>
    </row>
    <row r="11" s="27" customFormat="1" ht="14">
      <c r="C11" s="28" t="s">
        <v>19</v>
      </c>
      <c r="D11" s="29"/>
      <c r="E11" s="30"/>
      <c r="F11" s="31"/>
      <c r="G11" s="32"/>
      <c r="H11" s="38"/>
      <c r="I11" s="34" t="s">
        <v>13</v>
      </c>
      <c r="J11" s="35"/>
      <c r="K11" s="36"/>
      <c r="L11" s="36"/>
      <c r="M11" s="36">
        <f t="shared" si="0"/>
        <v>0</v>
      </c>
      <c r="N11" s="37" t="e">
        <f t="shared" si="1"/>
        <v>#DIV/0!</v>
      </c>
    </row>
    <row r="12" s="27" customFormat="1" ht="14">
      <c r="C12" s="28" t="s">
        <v>20</v>
      </c>
      <c r="D12" s="29"/>
      <c r="E12" s="30"/>
      <c r="F12" s="31"/>
      <c r="G12" s="32"/>
      <c r="H12" s="38"/>
      <c r="I12" s="34" t="s">
        <v>13</v>
      </c>
      <c r="J12" s="35"/>
      <c r="K12" s="36"/>
      <c r="L12" s="36"/>
      <c r="M12" s="36">
        <f t="shared" si="0"/>
        <v>0</v>
      </c>
      <c r="N12" s="37" t="e">
        <f t="shared" si="1"/>
        <v>#DIV/0!</v>
      </c>
    </row>
    <row r="13" s="27" customFormat="1" ht="14">
      <c r="C13" s="39" t="s">
        <v>21</v>
      </c>
      <c r="D13" s="29"/>
      <c r="E13" s="30"/>
      <c r="F13" s="31"/>
      <c r="G13" s="32"/>
      <c r="H13" s="38"/>
      <c r="I13" s="34" t="s">
        <v>11</v>
      </c>
      <c r="J13" s="35"/>
      <c r="K13" s="36"/>
      <c r="L13" s="36"/>
      <c r="M13" s="36">
        <f t="shared" si="0"/>
        <v>0</v>
      </c>
      <c r="N13" s="37" t="e">
        <f t="shared" si="1"/>
        <v>#DIV/0!</v>
      </c>
    </row>
    <row r="14" s="27" customFormat="1" ht="14">
      <c r="C14" s="28" t="s">
        <v>22</v>
      </c>
      <c r="D14" s="29"/>
      <c r="E14" s="30"/>
      <c r="F14" s="31"/>
      <c r="G14" s="32" t="s">
        <v>23</v>
      </c>
      <c r="H14" s="38"/>
      <c r="I14" s="34" t="s">
        <v>13</v>
      </c>
      <c r="J14" s="35"/>
      <c r="K14" s="36"/>
      <c r="L14" s="36"/>
      <c r="M14" s="36">
        <f t="shared" si="0"/>
        <v>0</v>
      </c>
      <c r="N14" s="37" t="e">
        <f t="shared" si="1"/>
        <v>#DIV/0!</v>
      </c>
    </row>
    <row r="15" s="27" customFormat="1" ht="14">
      <c r="C15" s="28" t="s">
        <v>24</v>
      </c>
      <c r="D15" s="29"/>
      <c r="E15" s="30"/>
      <c r="F15" s="31"/>
      <c r="G15" s="32" t="s">
        <v>25</v>
      </c>
      <c r="H15" s="38"/>
      <c r="I15" s="34" t="s">
        <v>13</v>
      </c>
      <c r="J15" s="35"/>
      <c r="K15" s="36"/>
      <c r="L15" s="36"/>
      <c r="M15" s="36">
        <f t="shared" si="0"/>
        <v>0</v>
      </c>
      <c r="N15" s="37" t="e">
        <f t="shared" si="1"/>
        <v>#DIV/0!</v>
      </c>
    </row>
    <row r="16" s="27" customFormat="1" ht="14">
      <c r="C16" s="40" t="s">
        <v>26</v>
      </c>
      <c r="D16" s="29"/>
      <c r="E16" s="30"/>
      <c r="F16" s="31"/>
      <c r="G16" s="32"/>
      <c r="H16" s="38"/>
      <c r="I16" s="34" t="s">
        <v>13</v>
      </c>
      <c r="J16" s="35"/>
      <c r="K16" s="36"/>
      <c r="L16" s="36"/>
      <c r="M16" s="36">
        <f t="shared" si="0"/>
        <v>0</v>
      </c>
      <c r="N16" s="37" t="e">
        <f t="shared" si="1"/>
        <v>#DIV/0!</v>
      </c>
    </row>
    <row r="17" s="27" customFormat="1" ht="14">
      <c r="C17" s="40" t="s">
        <v>27</v>
      </c>
      <c r="D17" s="29"/>
      <c r="E17" s="30"/>
      <c r="F17" s="31"/>
      <c r="G17" s="32"/>
      <c r="H17" s="38"/>
      <c r="I17" s="34" t="s">
        <v>13</v>
      </c>
      <c r="J17" s="35"/>
      <c r="K17" s="36"/>
      <c r="L17" s="36"/>
      <c r="M17" s="36">
        <f t="shared" si="0"/>
        <v>0</v>
      </c>
      <c r="N17" s="37" t="e">
        <f t="shared" si="1"/>
        <v>#DIV/0!</v>
      </c>
    </row>
    <row r="18" s="27" customFormat="1" ht="14">
      <c r="C18" s="40" t="s">
        <v>28</v>
      </c>
      <c r="D18" s="29"/>
      <c r="E18" s="30"/>
      <c r="F18" s="31"/>
      <c r="G18" s="32"/>
      <c r="H18" s="38"/>
      <c r="I18" s="34" t="s">
        <v>13</v>
      </c>
      <c r="J18" s="35"/>
      <c r="K18" s="36"/>
      <c r="L18" s="36"/>
      <c r="M18" s="36">
        <f t="shared" si="0"/>
        <v>0</v>
      </c>
      <c r="N18" s="37" t="e">
        <f t="shared" si="1"/>
        <v>#DIV/0!</v>
      </c>
    </row>
    <row r="19" s="27" customFormat="1" ht="14">
      <c r="C19" s="40" t="s">
        <v>29</v>
      </c>
      <c r="D19" s="29"/>
      <c r="E19" s="30"/>
      <c r="F19" s="31"/>
      <c r="G19" s="32"/>
      <c r="H19" s="38"/>
      <c r="I19" s="34" t="s">
        <v>13</v>
      </c>
      <c r="J19" s="35"/>
      <c r="K19" s="36"/>
      <c r="L19" s="36"/>
      <c r="M19" s="36"/>
      <c r="N19" s="37"/>
    </row>
    <row r="20" s="27" customFormat="1">
      <c r="C20" s="41"/>
      <c r="D20" s="42"/>
      <c r="E20" s="30"/>
      <c r="F20" s="31"/>
      <c r="G20" s="32"/>
      <c r="H20" s="38"/>
      <c r="I20" s="43"/>
      <c r="J20" s="35"/>
      <c r="K20" s="36"/>
      <c r="L20" s="36"/>
      <c r="M20" s="36">
        <f t="shared" ref="M20:M83" si="2">MIN(J20:L20)</f>
        <v>0</v>
      </c>
      <c r="N20" s="37" t="e">
        <f t="shared" ref="N20:N83" si="3">SUM(M20/E20)</f>
        <v>#DIV/0!</v>
      </c>
    </row>
    <row r="21" s="2" customFormat="1" ht="12.75" customHeight="1">
      <c r="C21" s="44" t="s">
        <v>30</v>
      </c>
      <c r="D21" s="44"/>
      <c r="E21" s="45"/>
      <c r="F21" s="45"/>
      <c r="G21" s="45"/>
      <c r="H21" s="46"/>
      <c r="I21" s="15" t="s">
        <v>4</v>
      </c>
      <c r="J21" s="47"/>
      <c r="K21" s="48"/>
      <c r="L21" s="48"/>
      <c r="M21" s="36">
        <f t="shared" si="2"/>
        <v>0</v>
      </c>
      <c r="N21" s="37" t="e">
        <f t="shared" si="3"/>
        <v>#DIV/0!</v>
      </c>
    </row>
    <row r="22" s="2" customFormat="1" ht="15" customHeight="1">
      <c r="C22" s="44"/>
      <c r="D22" s="44"/>
      <c r="E22" s="49" t="s">
        <v>5</v>
      </c>
      <c r="F22" s="50" t="s">
        <v>6</v>
      </c>
      <c r="G22" s="51" t="s">
        <v>7</v>
      </c>
      <c r="H22" s="52" t="s">
        <v>8</v>
      </c>
      <c r="I22" s="15"/>
      <c r="J22" s="47"/>
      <c r="K22" s="48"/>
      <c r="L22" s="48"/>
      <c r="M22" s="36">
        <f t="shared" si="2"/>
        <v>0</v>
      </c>
      <c r="N22" s="37" t="e">
        <f t="shared" si="3"/>
        <v>#VALUE!</v>
      </c>
    </row>
    <row r="23" s="27" customFormat="1" ht="14">
      <c r="C23" s="28" t="s">
        <v>31</v>
      </c>
      <c r="D23" s="29"/>
      <c r="E23" s="30">
        <v>48</v>
      </c>
      <c r="F23" s="31"/>
      <c r="G23" s="32">
        <v>1</v>
      </c>
      <c r="H23" s="33"/>
      <c r="I23" s="34" t="s">
        <v>11</v>
      </c>
      <c r="J23" s="35">
        <v>35.990000000000002</v>
      </c>
      <c r="K23" s="36">
        <v>41.979999999999997</v>
      </c>
      <c r="L23" s="36"/>
      <c r="M23" s="36">
        <f t="shared" si="2"/>
        <v>35.990000000000002</v>
      </c>
      <c r="N23" s="37">
        <f t="shared" si="3"/>
        <v>0.74979166666666675</v>
      </c>
    </row>
    <row r="24" s="27" customFormat="1" ht="14">
      <c r="C24" s="28" t="s">
        <v>32</v>
      </c>
      <c r="D24" s="29"/>
      <c r="E24" s="30"/>
      <c r="F24" s="31"/>
      <c r="G24" s="32">
        <v>1</v>
      </c>
      <c r="H24" s="38"/>
      <c r="I24" s="34" t="s">
        <v>11</v>
      </c>
      <c r="J24" s="35"/>
      <c r="K24" s="36"/>
      <c r="L24" s="36"/>
      <c r="M24" s="36">
        <f t="shared" si="2"/>
        <v>0</v>
      </c>
      <c r="N24" s="37" t="e">
        <f t="shared" si="3"/>
        <v>#DIV/0!</v>
      </c>
    </row>
    <row r="25" s="27" customFormat="1" ht="14">
      <c r="C25" s="28" t="s">
        <v>33</v>
      </c>
      <c r="D25" s="29"/>
      <c r="E25" s="30">
        <v>36</v>
      </c>
      <c r="F25" s="31"/>
      <c r="G25" s="32">
        <v>1</v>
      </c>
      <c r="H25" s="38"/>
      <c r="I25" s="34" t="s">
        <v>11</v>
      </c>
      <c r="J25" s="35">
        <v>26.489999999999998</v>
      </c>
      <c r="K25" s="36">
        <v>32.68</v>
      </c>
      <c r="L25" s="36"/>
      <c r="M25" s="36">
        <f t="shared" si="2"/>
        <v>26.489999999999998</v>
      </c>
      <c r="N25" s="37">
        <f t="shared" si="3"/>
        <v>0.73583333333333334</v>
      </c>
    </row>
    <row r="26" s="27" customFormat="1" ht="14">
      <c r="C26" s="28" t="s">
        <v>34</v>
      </c>
      <c r="D26" s="29"/>
      <c r="E26" s="30">
        <v>48</v>
      </c>
      <c r="F26" s="31"/>
      <c r="G26" s="32">
        <v>1</v>
      </c>
      <c r="H26" s="38"/>
      <c r="I26" s="34" t="s">
        <v>11</v>
      </c>
      <c r="J26" s="35">
        <v>35.990000000000002</v>
      </c>
      <c r="K26" s="36">
        <v>41.979999999999997</v>
      </c>
      <c r="L26" s="36"/>
      <c r="M26" s="36">
        <f t="shared" si="2"/>
        <v>35.990000000000002</v>
      </c>
      <c r="N26" s="37">
        <f t="shared" si="3"/>
        <v>0.74979166666666675</v>
      </c>
    </row>
    <row r="27" s="27" customFormat="1" ht="14">
      <c r="C27" s="28" t="s">
        <v>35</v>
      </c>
      <c r="D27" s="29"/>
      <c r="E27" s="30">
        <v>36</v>
      </c>
      <c r="F27" s="31"/>
      <c r="G27" s="32">
        <v>1</v>
      </c>
      <c r="H27" s="38"/>
      <c r="I27" s="34" t="s">
        <v>11</v>
      </c>
      <c r="J27" s="35">
        <v>27.489999999999998</v>
      </c>
      <c r="K27" s="36">
        <v>32.119999999999997</v>
      </c>
      <c r="L27" s="36"/>
      <c r="M27" s="36">
        <f t="shared" si="2"/>
        <v>27.489999999999998</v>
      </c>
      <c r="N27" s="37">
        <f t="shared" si="3"/>
        <v>0.76361111111111102</v>
      </c>
    </row>
    <row r="28" s="27" customFormat="1" ht="14">
      <c r="C28" s="28" t="s">
        <v>36</v>
      </c>
      <c r="D28" s="29"/>
      <c r="E28" s="30"/>
      <c r="F28" s="31"/>
      <c r="G28" s="32">
        <v>1</v>
      </c>
      <c r="H28" s="38"/>
      <c r="I28" s="34" t="s">
        <v>11</v>
      </c>
      <c r="J28" s="35"/>
      <c r="K28" s="36"/>
      <c r="L28" s="36"/>
      <c r="M28" s="36">
        <f t="shared" si="2"/>
        <v>0</v>
      </c>
      <c r="N28" s="37" t="e">
        <f t="shared" si="3"/>
        <v>#DIV/0!</v>
      </c>
    </row>
    <row r="29" s="27" customFormat="1" ht="14">
      <c r="C29" s="40" t="s">
        <v>37</v>
      </c>
      <c r="D29" s="29"/>
      <c r="E29" s="30"/>
      <c r="F29" s="31"/>
      <c r="G29" s="32">
        <v>1</v>
      </c>
      <c r="H29" s="38"/>
      <c r="I29" s="34" t="s">
        <v>11</v>
      </c>
      <c r="J29" s="35"/>
      <c r="K29" s="36"/>
      <c r="L29" s="36"/>
      <c r="M29" s="36"/>
      <c r="N29" s="37"/>
    </row>
    <row r="30" s="27" customFormat="1" ht="14">
      <c r="C30" s="39" t="s">
        <v>38</v>
      </c>
      <c r="D30" s="29"/>
      <c r="E30" s="30">
        <v>9</v>
      </c>
      <c r="F30" s="31"/>
      <c r="G30" s="32">
        <v>1</v>
      </c>
      <c r="H30" s="38"/>
      <c r="I30" s="34" t="s">
        <v>11</v>
      </c>
      <c r="J30" s="35">
        <v>18.989999999999998</v>
      </c>
      <c r="K30" s="36">
        <v>15.98</v>
      </c>
      <c r="L30" s="36"/>
      <c r="M30" s="36">
        <f t="shared" si="2"/>
        <v>15.98</v>
      </c>
      <c r="N30" s="37">
        <f t="shared" si="3"/>
        <v>1.7755555555555556</v>
      </c>
    </row>
    <row r="31" s="27" customFormat="1" ht="14">
      <c r="C31" s="39" t="s">
        <v>39</v>
      </c>
      <c r="D31" s="29"/>
      <c r="E31" s="30">
        <v>40</v>
      </c>
      <c r="F31" s="31"/>
      <c r="G31" s="32">
        <v>1</v>
      </c>
      <c r="H31" s="38"/>
      <c r="I31" s="34" t="s">
        <v>40</v>
      </c>
      <c r="J31" s="35"/>
      <c r="K31" s="36">
        <v>13.98</v>
      </c>
      <c r="L31" s="36"/>
      <c r="M31" s="36">
        <f t="shared" si="2"/>
        <v>13.98</v>
      </c>
      <c r="N31" s="37">
        <f t="shared" si="3"/>
        <v>0.34950000000000003</v>
      </c>
    </row>
    <row r="32" s="27" customFormat="1" ht="14">
      <c r="C32" s="39" t="s">
        <v>41</v>
      </c>
      <c r="D32" s="29"/>
      <c r="E32" s="30">
        <v>24</v>
      </c>
      <c r="F32" s="31"/>
      <c r="G32" s="32">
        <v>1</v>
      </c>
      <c r="H32" s="38"/>
      <c r="I32" s="34" t="s">
        <v>11</v>
      </c>
      <c r="J32" s="35"/>
      <c r="K32" s="36">
        <v>10.880000000000001</v>
      </c>
      <c r="L32" s="36"/>
      <c r="M32" s="36">
        <f t="shared" si="2"/>
        <v>10.880000000000001</v>
      </c>
      <c r="N32" s="37">
        <f t="shared" si="3"/>
        <v>0.45333333333333337</v>
      </c>
    </row>
    <row r="33" s="27" customFormat="1" ht="14">
      <c r="C33" s="39" t="s">
        <v>42</v>
      </c>
      <c r="D33" s="29"/>
      <c r="E33" s="30"/>
      <c r="F33" s="31"/>
      <c r="G33" s="32">
        <v>1</v>
      </c>
      <c r="H33" s="38"/>
      <c r="I33" s="34" t="s">
        <v>11</v>
      </c>
      <c r="J33" s="35"/>
      <c r="K33" s="36"/>
      <c r="L33" s="36"/>
      <c r="M33" s="36">
        <f t="shared" si="2"/>
        <v>0</v>
      </c>
      <c r="N33" s="37" t="e">
        <f t="shared" si="3"/>
        <v>#DIV/0!</v>
      </c>
    </row>
    <row r="34" s="27" customFormat="1">
      <c r="C34" s="28"/>
      <c r="D34" s="29"/>
      <c r="E34" s="30"/>
      <c r="F34" s="31"/>
      <c r="G34" s="32"/>
      <c r="H34" s="38"/>
      <c r="I34" s="34"/>
      <c r="J34" s="35"/>
      <c r="K34" s="36"/>
      <c r="L34" s="36"/>
      <c r="M34" s="36">
        <f t="shared" si="2"/>
        <v>0</v>
      </c>
      <c r="N34" s="37" t="e">
        <f t="shared" si="3"/>
        <v>#DIV/0!</v>
      </c>
    </row>
    <row r="35" s="27" customFormat="1" ht="14">
      <c r="C35" s="39" t="s">
        <v>43</v>
      </c>
      <c r="D35" s="29"/>
      <c r="E35" s="30">
        <v>18</v>
      </c>
      <c r="F35" s="31"/>
      <c r="G35" s="32">
        <v>2</v>
      </c>
      <c r="H35" s="38"/>
      <c r="I35" s="34" t="s">
        <v>11</v>
      </c>
      <c r="J35" s="35">
        <v>20.489999999999998</v>
      </c>
      <c r="K35" s="36">
        <v>12.91</v>
      </c>
      <c r="L35" s="36"/>
      <c r="M35" s="36">
        <f t="shared" si="2"/>
        <v>12.91</v>
      </c>
      <c r="N35" s="37">
        <f t="shared" si="3"/>
        <v>0.71722222222222221</v>
      </c>
    </row>
    <row r="36" s="27" customFormat="1" ht="14">
      <c r="C36" s="39" t="s">
        <v>44</v>
      </c>
      <c r="D36" s="29"/>
      <c r="E36" s="30"/>
      <c r="F36" s="31"/>
      <c r="G36" s="32">
        <v>1</v>
      </c>
      <c r="H36" s="38"/>
      <c r="I36" s="34" t="s">
        <v>11</v>
      </c>
      <c r="J36" s="35"/>
      <c r="K36" s="36"/>
      <c r="L36" s="36"/>
      <c r="M36" s="36">
        <f t="shared" si="2"/>
        <v>0</v>
      </c>
      <c r="N36" s="37" t="e">
        <f t="shared" si="3"/>
        <v>#DIV/0!</v>
      </c>
    </row>
    <row r="37" s="27" customFormat="1" ht="14">
      <c r="C37" s="39" t="s">
        <v>45</v>
      </c>
      <c r="D37" s="29"/>
      <c r="E37" s="30"/>
      <c r="F37" s="31"/>
      <c r="G37" s="32">
        <v>1</v>
      </c>
      <c r="H37" s="38"/>
      <c r="I37" s="34" t="s">
        <v>11</v>
      </c>
      <c r="J37" s="35"/>
      <c r="K37" s="36"/>
      <c r="L37" s="36"/>
      <c r="M37" s="36">
        <f t="shared" si="2"/>
        <v>0</v>
      </c>
      <c r="N37" s="37" t="e">
        <f t="shared" si="3"/>
        <v>#DIV/0!</v>
      </c>
    </row>
    <row r="38" s="27" customFormat="1">
      <c r="C38" s="28"/>
      <c r="D38" s="29"/>
      <c r="E38" s="30"/>
      <c r="F38" s="31"/>
      <c r="G38" s="32"/>
      <c r="H38" s="38"/>
      <c r="I38" s="34"/>
      <c r="J38" s="35">
        <v>9.5899999999999999</v>
      </c>
      <c r="K38" s="36"/>
      <c r="L38" s="36"/>
      <c r="M38" s="36">
        <f t="shared" si="2"/>
        <v>9.5899999999999999</v>
      </c>
      <c r="N38" s="37" t="e">
        <f t="shared" si="3"/>
        <v>#DIV/0!</v>
      </c>
    </row>
    <row r="39" s="27" customFormat="1" ht="14">
      <c r="C39" s="39" t="s">
        <v>46</v>
      </c>
      <c r="D39" s="29"/>
      <c r="E39" s="30">
        <v>6</v>
      </c>
      <c r="F39" s="31"/>
      <c r="G39" s="32">
        <v>1</v>
      </c>
      <c r="H39" s="38"/>
      <c r="I39" s="34" t="s">
        <v>11</v>
      </c>
      <c r="J39" s="35">
        <v>4.6900000000000004</v>
      </c>
      <c r="K39" s="36"/>
      <c r="L39" s="36"/>
      <c r="M39" s="36">
        <f t="shared" si="2"/>
        <v>4.6900000000000004</v>
      </c>
      <c r="N39" s="37">
        <f t="shared" si="3"/>
        <v>0.78166666666666673</v>
      </c>
    </row>
    <row r="40" s="27" customFormat="1" ht="14">
      <c r="C40" s="39" t="s">
        <v>47</v>
      </c>
      <c r="D40" s="29"/>
      <c r="E40" s="30">
        <v>6</v>
      </c>
      <c r="F40" s="31"/>
      <c r="G40" s="32">
        <v>1</v>
      </c>
      <c r="H40" s="38"/>
      <c r="I40" s="34" t="s">
        <v>11</v>
      </c>
      <c r="J40" s="35">
        <v>4.6900000000000004</v>
      </c>
      <c r="K40" s="36"/>
      <c r="L40" s="36"/>
      <c r="M40" s="36">
        <f t="shared" si="2"/>
        <v>4.6900000000000004</v>
      </c>
      <c r="N40" s="37">
        <f t="shared" si="3"/>
        <v>0.78166666666666673</v>
      </c>
    </row>
    <row r="41" s="27" customFormat="1" ht="14">
      <c r="C41" s="39" t="s">
        <v>48</v>
      </c>
      <c r="D41" s="29"/>
      <c r="E41" s="30">
        <v>6</v>
      </c>
      <c r="F41" s="31"/>
      <c r="G41" s="32">
        <v>1</v>
      </c>
      <c r="H41" s="38"/>
      <c r="I41" s="34" t="s">
        <v>11</v>
      </c>
      <c r="J41" s="35">
        <v>4.6900000000000004</v>
      </c>
      <c r="K41" s="36"/>
      <c r="L41" s="36"/>
      <c r="M41" s="36">
        <f t="shared" si="2"/>
        <v>4.6900000000000004</v>
      </c>
      <c r="N41" s="37">
        <f t="shared" si="3"/>
        <v>0.78166666666666673</v>
      </c>
    </row>
    <row r="42" s="27" customFormat="1" ht="14">
      <c r="C42" s="28" t="s">
        <v>49</v>
      </c>
      <c r="D42" s="29"/>
      <c r="E42" s="30"/>
      <c r="F42" s="31"/>
      <c r="G42" s="32"/>
      <c r="H42" s="38"/>
      <c r="I42" s="34" t="s">
        <v>13</v>
      </c>
      <c r="J42" s="35"/>
      <c r="K42" s="36"/>
      <c r="L42" s="36"/>
      <c r="M42" s="36">
        <f t="shared" si="2"/>
        <v>0</v>
      </c>
      <c r="N42" s="37" t="e">
        <f t="shared" si="3"/>
        <v>#DIV/0!</v>
      </c>
    </row>
    <row r="43" s="27" customFormat="1">
      <c r="C43" s="28"/>
      <c r="D43" s="29"/>
      <c r="E43" s="30"/>
      <c r="F43" s="31"/>
      <c r="G43" s="32"/>
      <c r="H43" s="38"/>
      <c r="I43" s="34"/>
      <c r="J43" s="35"/>
      <c r="K43" s="36"/>
      <c r="L43" s="36"/>
      <c r="M43" s="36">
        <f t="shared" si="2"/>
        <v>0</v>
      </c>
      <c r="N43" s="37" t="e">
        <f t="shared" si="3"/>
        <v>#DIV/0!</v>
      </c>
    </row>
    <row r="44" s="27" customFormat="1" ht="14">
      <c r="C44" s="28" t="s">
        <v>50</v>
      </c>
      <c r="D44" s="29"/>
      <c r="E44" s="30"/>
      <c r="F44" s="31"/>
      <c r="G44" s="32">
        <v>1</v>
      </c>
      <c r="H44" s="38"/>
      <c r="I44" s="34" t="s">
        <v>13</v>
      </c>
      <c r="J44" s="35"/>
      <c r="K44" s="36"/>
      <c r="L44" s="36"/>
      <c r="M44" s="36">
        <f t="shared" si="2"/>
        <v>0</v>
      </c>
      <c r="N44" s="37" t="e">
        <f t="shared" si="3"/>
        <v>#DIV/0!</v>
      </c>
    </row>
    <row r="45" s="27" customFormat="1" ht="14">
      <c r="C45" s="28" t="s">
        <v>51</v>
      </c>
      <c r="D45" s="29"/>
      <c r="E45" s="30"/>
      <c r="F45" s="31"/>
      <c r="G45" s="32">
        <v>1</v>
      </c>
      <c r="H45" s="38"/>
      <c r="I45" s="34" t="s">
        <v>13</v>
      </c>
      <c r="J45" s="35"/>
      <c r="K45" s="36"/>
      <c r="L45" s="36"/>
      <c r="M45" s="36">
        <f t="shared" si="2"/>
        <v>0</v>
      </c>
      <c r="N45" s="37" t="e">
        <f t="shared" si="3"/>
        <v>#DIV/0!</v>
      </c>
    </row>
    <row r="46" s="27" customFormat="1" ht="14">
      <c r="C46" s="28" t="s">
        <v>52</v>
      </c>
      <c r="D46" s="29"/>
      <c r="E46" s="30"/>
      <c r="F46" s="31"/>
      <c r="G46" s="32">
        <v>1</v>
      </c>
      <c r="H46" s="38"/>
      <c r="I46" s="34" t="s">
        <v>13</v>
      </c>
      <c r="J46" s="35"/>
      <c r="K46" s="36"/>
      <c r="L46" s="36"/>
      <c r="M46" s="36">
        <f t="shared" si="2"/>
        <v>0</v>
      </c>
      <c r="N46" s="37" t="e">
        <f t="shared" si="3"/>
        <v>#DIV/0!</v>
      </c>
    </row>
    <row r="47" s="27" customFormat="1" ht="14">
      <c r="C47" s="39" t="s">
        <v>53</v>
      </c>
      <c r="D47" s="29"/>
      <c r="E47" s="30"/>
      <c r="F47" s="31"/>
      <c r="G47" s="32">
        <v>1</v>
      </c>
      <c r="H47" s="38"/>
      <c r="I47" s="34" t="s">
        <v>13</v>
      </c>
      <c r="J47" s="35"/>
      <c r="K47" s="36"/>
      <c r="L47" s="36"/>
      <c r="M47" s="36">
        <f t="shared" si="2"/>
        <v>0</v>
      </c>
      <c r="N47" s="37" t="e">
        <f t="shared" si="3"/>
        <v>#DIV/0!</v>
      </c>
    </row>
    <row r="48" s="27" customFormat="1" ht="14">
      <c r="C48" s="28" t="s">
        <v>54</v>
      </c>
      <c r="D48" s="29"/>
      <c r="E48" s="30">
        <v>60</v>
      </c>
      <c r="F48" s="31"/>
      <c r="G48" s="32">
        <v>1</v>
      </c>
      <c r="H48" s="38"/>
      <c r="I48" s="34" t="s">
        <v>11</v>
      </c>
      <c r="J48" s="35"/>
      <c r="K48" s="36">
        <v>14.98</v>
      </c>
      <c r="L48" s="36"/>
      <c r="M48" s="36">
        <f t="shared" si="2"/>
        <v>14.98</v>
      </c>
      <c r="N48" s="37">
        <f t="shared" si="3"/>
        <v>0.24966666666666668</v>
      </c>
    </row>
    <row r="49" s="27" customFormat="1" ht="14">
      <c r="C49" s="28" t="s">
        <v>55</v>
      </c>
      <c r="D49" s="29"/>
      <c r="E49" s="30">
        <v>30</v>
      </c>
      <c r="F49" s="31"/>
      <c r="G49" s="32">
        <v>2</v>
      </c>
      <c r="H49" s="38"/>
      <c r="I49" s="34" t="s">
        <v>11</v>
      </c>
      <c r="J49" s="35">
        <v>19.989999999999998</v>
      </c>
      <c r="K49" s="36">
        <v>18.48</v>
      </c>
      <c r="L49" s="36"/>
      <c r="M49" s="36">
        <f t="shared" si="2"/>
        <v>18.48</v>
      </c>
      <c r="N49" s="37">
        <f t="shared" si="3"/>
        <v>0.61599999999999999</v>
      </c>
    </row>
    <row r="50" s="27" customFormat="1" ht="14">
      <c r="C50" s="40" t="s">
        <v>56</v>
      </c>
      <c r="D50" s="29"/>
      <c r="E50" s="30"/>
      <c r="F50" s="31"/>
      <c r="G50" s="32"/>
      <c r="H50" s="38"/>
      <c r="I50" s="34" t="s">
        <v>13</v>
      </c>
      <c r="J50" s="35"/>
      <c r="K50" s="36"/>
      <c r="L50" s="36"/>
      <c r="M50" s="36">
        <f t="shared" si="2"/>
        <v>0</v>
      </c>
      <c r="N50" s="37" t="e">
        <f t="shared" si="3"/>
        <v>#DIV/0!</v>
      </c>
    </row>
    <row r="51" s="27" customFormat="1">
      <c r="C51" s="40"/>
      <c r="D51" s="29"/>
      <c r="E51" s="30"/>
      <c r="F51" s="31"/>
      <c r="G51" s="32"/>
      <c r="H51" s="38"/>
      <c r="I51" s="34"/>
      <c r="J51" s="35"/>
      <c r="K51" s="36"/>
      <c r="L51" s="36"/>
      <c r="M51" s="36">
        <f t="shared" si="2"/>
        <v>0</v>
      </c>
      <c r="N51" s="37" t="e">
        <f t="shared" si="3"/>
        <v>#DIV/0!</v>
      </c>
    </row>
    <row r="52" s="27" customFormat="1">
      <c r="C52" s="40"/>
      <c r="D52" s="29"/>
      <c r="E52" s="30"/>
      <c r="F52" s="31"/>
      <c r="G52" s="32"/>
      <c r="H52" s="38"/>
      <c r="I52" s="34"/>
      <c r="J52" s="35"/>
      <c r="K52" s="36"/>
      <c r="L52" s="36"/>
      <c r="M52" s="36">
        <f t="shared" si="2"/>
        <v>0</v>
      </c>
      <c r="N52" s="37" t="e">
        <f t="shared" si="3"/>
        <v>#DIV/0!</v>
      </c>
    </row>
    <row r="53" s="27" customFormat="1" ht="14">
      <c r="C53" s="40" t="s">
        <v>57</v>
      </c>
      <c r="D53" s="29"/>
      <c r="E53" s="30"/>
      <c r="F53" s="31"/>
      <c r="G53" s="32"/>
      <c r="H53" s="38"/>
      <c r="I53" s="34" t="s">
        <v>13</v>
      </c>
      <c r="J53" s="35"/>
      <c r="K53" s="36"/>
      <c r="L53" s="36"/>
      <c r="M53" s="36">
        <f t="shared" si="2"/>
        <v>0</v>
      </c>
      <c r="N53" s="37" t="e">
        <f t="shared" si="3"/>
        <v>#DIV/0!</v>
      </c>
    </row>
    <row r="54" s="27" customFormat="1" ht="14">
      <c r="C54" s="40" t="s">
        <v>58</v>
      </c>
      <c r="D54" s="29"/>
      <c r="E54" s="30"/>
      <c r="F54" s="31"/>
      <c r="G54" s="32"/>
      <c r="H54" s="38"/>
      <c r="I54" s="34" t="s">
        <v>13</v>
      </c>
      <c r="J54" s="35"/>
      <c r="K54" s="36"/>
      <c r="L54" s="36"/>
      <c r="M54" s="36">
        <f t="shared" si="2"/>
        <v>0</v>
      </c>
      <c r="N54" s="37" t="e">
        <f t="shared" si="3"/>
        <v>#DIV/0!</v>
      </c>
    </row>
    <row r="55" s="27" customFormat="1" ht="14">
      <c r="C55" s="40" t="s">
        <v>59</v>
      </c>
      <c r="D55" s="29"/>
      <c r="E55" s="30"/>
      <c r="F55" s="31"/>
      <c r="G55" s="32"/>
      <c r="H55" s="38"/>
      <c r="I55" s="34" t="s">
        <v>13</v>
      </c>
      <c r="J55" s="35"/>
      <c r="K55" s="36"/>
      <c r="L55" s="36"/>
      <c r="M55" s="36">
        <f t="shared" si="2"/>
        <v>0</v>
      </c>
      <c r="N55" s="37" t="e">
        <f t="shared" si="3"/>
        <v>#DIV/0!</v>
      </c>
    </row>
    <row r="56" s="27" customFormat="1" ht="14">
      <c r="C56" s="40" t="s">
        <v>60</v>
      </c>
      <c r="D56" s="29"/>
      <c r="E56" s="30"/>
      <c r="F56" s="31"/>
      <c r="G56" s="32"/>
      <c r="H56" s="38"/>
      <c r="I56" s="34" t="s">
        <v>13</v>
      </c>
      <c r="J56" s="35"/>
      <c r="K56" s="36"/>
      <c r="L56" s="36"/>
      <c r="M56" s="36">
        <f t="shared" si="2"/>
        <v>0</v>
      </c>
      <c r="N56" s="37" t="e">
        <f t="shared" si="3"/>
        <v>#DIV/0!</v>
      </c>
    </row>
    <row r="57" s="27" customFormat="1" ht="14">
      <c r="C57" s="40" t="s">
        <v>61</v>
      </c>
      <c r="D57" s="29"/>
      <c r="E57" s="30"/>
      <c r="F57" s="31"/>
      <c r="G57" s="32"/>
      <c r="H57" s="38"/>
      <c r="I57" s="34" t="s">
        <v>13</v>
      </c>
      <c r="J57" s="35"/>
      <c r="K57" s="36"/>
      <c r="L57" s="36"/>
      <c r="M57" s="36">
        <f t="shared" si="2"/>
        <v>0</v>
      </c>
      <c r="N57" s="37" t="e">
        <f t="shared" si="3"/>
        <v>#DIV/0!</v>
      </c>
    </row>
    <row r="58" s="27" customFormat="1" ht="14">
      <c r="C58" s="40" t="s">
        <v>62</v>
      </c>
      <c r="D58" s="29"/>
      <c r="E58" s="30"/>
      <c r="F58" s="31"/>
      <c r="G58" s="32"/>
      <c r="H58" s="38"/>
      <c r="I58" s="34" t="s">
        <v>13</v>
      </c>
      <c r="J58" s="35"/>
      <c r="K58" s="36"/>
      <c r="L58" s="36"/>
      <c r="M58" s="36">
        <f t="shared" si="2"/>
        <v>0</v>
      </c>
      <c r="N58" s="37" t="e">
        <f t="shared" si="3"/>
        <v>#DIV/0!</v>
      </c>
    </row>
    <row r="59" s="27" customFormat="1">
      <c r="C59" s="40"/>
      <c r="D59" s="29"/>
      <c r="E59" s="30"/>
      <c r="F59" s="31"/>
      <c r="G59" s="32"/>
      <c r="H59" s="38"/>
      <c r="I59" s="43"/>
      <c r="J59" s="35"/>
      <c r="K59" s="36"/>
      <c r="L59" s="36"/>
      <c r="M59" s="36">
        <f t="shared" si="2"/>
        <v>0</v>
      </c>
      <c r="N59" s="37" t="e">
        <f t="shared" si="3"/>
        <v>#DIV/0!</v>
      </c>
    </row>
    <row r="60" s="2" customFormat="1" ht="12.75" customHeight="1">
      <c r="C60" s="44" t="s">
        <v>63</v>
      </c>
      <c r="D60" s="44"/>
      <c r="E60" s="45"/>
      <c r="F60" s="45"/>
      <c r="G60" s="45"/>
      <c r="H60" s="46"/>
      <c r="I60" s="15" t="s">
        <v>4</v>
      </c>
      <c r="J60" s="47"/>
      <c r="K60" s="48"/>
      <c r="L60" s="48"/>
      <c r="M60" s="36">
        <f t="shared" si="2"/>
        <v>0</v>
      </c>
      <c r="N60" s="37" t="e">
        <f t="shared" si="3"/>
        <v>#DIV/0!</v>
      </c>
    </row>
    <row r="61" s="2" customFormat="1" ht="15" customHeight="1">
      <c r="C61" s="44"/>
      <c r="D61" s="44"/>
      <c r="E61" s="49" t="s">
        <v>64</v>
      </c>
      <c r="F61" s="50" t="s">
        <v>6</v>
      </c>
      <c r="G61" s="51" t="s">
        <v>7</v>
      </c>
      <c r="H61" s="52" t="s">
        <v>8</v>
      </c>
      <c r="I61" s="15"/>
      <c r="J61" s="47"/>
      <c r="K61" s="48"/>
      <c r="L61" s="48"/>
      <c r="M61" s="36">
        <f t="shared" si="2"/>
        <v>0</v>
      </c>
      <c r="N61" s="37" t="e">
        <f t="shared" si="3"/>
        <v>#VALUE!</v>
      </c>
    </row>
    <row r="62" s="27" customFormat="1">
      <c r="C62" s="40"/>
      <c r="D62" s="29"/>
      <c r="E62" s="30"/>
      <c r="F62" s="31"/>
      <c r="G62" s="32"/>
      <c r="H62" s="38"/>
      <c r="I62" s="43"/>
      <c r="J62" s="35"/>
      <c r="K62" s="36"/>
      <c r="L62" s="36"/>
      <c r="M62" s="36">
        <f t="shared" si="2"/>
        <v>0</v>
      </c>
      <c r="N62" s="37" t="e">
        <f t="shared" si="3"/>
        <v>#DIV/0!</v>
      </c>
    </row>
    <row r="63" s="27" customFormat="1" ht="14">
      <c r="C63" s="40" t="s">
        <v>65</v>
      </c>
      <c r="D63" s="29"/>
      <c r="E63" s="30">
        <v>12</v>
      </c>
      <c r="F63" s="31"/>
      <c r="G63" s="32">
        <v>36</v>
      </c>
      <c r="H63" s="38"/>
      <c r="I63" s="34" t="s">
        <v>11</v>
      </c>
      <c r="J63" s="35"/>
      <c r="K63" s="36">
        <v>8.6799999999999997</v>
      </c>
      <c r="L63" s="36"/>
      <c r="M63" s="36">
        <f t="shared" si="2"/>
        <v>8.6799999999999997</v>
      </c>
      <c r="N63" s="37">
        <f t="shared" si="3"/>
        <v>0.72333333333333327</v>
      </c>
    </row>
    <row r="64" s="27" customFormat="1" ht="14">
      <c r="C64" s="40" t="s">
        <v>66</v>
      </c>
      <c r="D64" s="29"/>
      <c r="E64" s="30"/>
      <c r="F64" s="31"/>
      <c r="G64" s="32">
        <v>1</v>
      </c>
      <c r="H64" s="38"/>
      <c r="I64" s="34" t="s">
        <v>13</v>
      </c>
      <c r="J64" s="35"/>
      <c r="K64" s="36"/>
      <c r="L64" s="36"/>
      <c r="M64" s="36">
        <f t="shared" si="2"/>
        <v>0</v>
      </c>
      <c r="N64" s="37" t="e">
        <f t="shared" si="3"/>
        <v>#DIV/0!</v>
      </c>
    </row>
    <row r="65" s="27" customFormat="1" ht="14">
      <c r="C65" s="40" t="s">
        <v>67</v>
      </c>
      <c r="D65" s="29"/>
      <c r="E65" s="30"/>
      <c r="F65" s="31"/>
      <c r="G65" s="32"/>
      <c r="H65" s="38"/>
      <c r="I65" s="34" t="s">
        <v>11</v>
      </c>
      <c r="J65" s="35"/>
      <c r="K65" s="36"/>
      <c r="L65" s="36"/>
      <c r="M65" s="36">
        <f t="shared" si="2"/>
        <v>0</v>
      </c>
      <c r="N65" s="37" t="e">
        <f t="shared" si="3"/>
        <v>#DIV/0!</v>
      </c>
    </row>
    <row r="66" s="27" customFormat="1" ht="14">
      <c r="C66" s="40" t="s">
        <v>68</v>
      </c>
      <c r="D66" s="29"/>
      <c r="E66" s="30"/>
      <c r="F66" s="31"/>
      <c r="G66" s="32"/>
      <c r="H66" s="38"/>
      <c r="I66" s="34" t="s">
        <v>13</v>
      </c>
      <c r="J66" s="35"/>
      <c r="K66" s="36"/>
      <c r="L66" s="36"/>
      <c r="M66" s="36">
        <f t="shared" si="2"/>
        <v>0</v>
      </c>
      <c r="N66" s="37" t="e">
        <f t="shared" si="3"/>
        <v>#DIV/0!</v>
      </c>
    </row>
    <row r="67" s="27" customFormat="1">
      <c r="C67" s="40"/>
      <c r="D67" s="31"/>
      <c r="E67" s="30"/>
      <c r="F67" s="31"/>
      <c r="G67" s="32"/>
      <c r="H67" s="38"/>
      <c r="I67" s="43"/>
      <c r="J67" s="35"/>
      <c r="K67" s="36"/>
      <c r="L67" s="36"/>
      <c r="M67" s="36">
        <f t="shared" si="2"/>
        <v>0</v>
      </c>
      <c r="N67" s="37" t="e">
        <f t="shared" si="3"/>
        <v>#DIV/0!</v>
      </c>
    </row>
    <row r="68" s="2" customFormat="1" ht="12.75" customHeight="1">
      <c r="C68" s="44" t="s">
        <v>69</v>
      </c>
      <c r="D68" s="44"/>
      <c r="E68" s="45"/>
      <c r="F68" s="45"/>
      <c r="G68" s="45"/>
      <c r="H68" s="46"/>
      <c r="I68" s="15" t="s">
        <v>4</v>
      </c>
      <c r="J68" s="47"/>
      <c r="K68" s="48"/>
      <c r="L68" s="48"/>
      <c r="M68" s="36">
        <f t="shared" si="2"/>
        <v>0</v>
      </c>
      <c r="N68" s="37" t="e">
        <f t="shared" si="3"/>
        <v>#DIV/0!</v>
      </c>
    </row>
    <row r="69" s="2" customFormat="1" ht="15" customHeight="1">
      <c r="C69" s="44"/>
      <c r="D69" s="44"/>
      <c r="E69" s="49" t="s">
        <v>6</v>
      </c>
      <c r="F69" s="50"/>
      <c r="G69" s="51" t="s">
        <v>7</v>
      </c>
      <c r="H69" s="52" t="s">
        <v>8</v>
      </c>
      <c r="I69" s="15"/>
      <c r="J69" s="47"/>
      <c r="K69" s="48"/>
      <c r="L69" s="48"/>
      <c r="M69" s="36">
        <f t="shared" si="2"/>
        <v>0</v>
      </c>
      <c r="N69" s="37" t="e">
        <f t="shared" si="3"/>
        <v>#VALUE!</v>
      </c>
    </row>
    <row r="70" s="27" customFormat="1" ht="14">
      <c r="C70" s="40" t="s">
        <v>70</v>
      </c>
      <c r="D70" s="29"/>
      <c r="E70" s="30"/>
      <c r="F70" s="31"/>
      <c r="G70" s="32"/>
      <c r="H70" s="38"/>
      <c r="I70" s="34" t="s">
        <v>71</v>
      </c>
      <c r="J70" s="35"/>
      <c r="K70" s="36"/>
      <c r="L70" s="36"/>
      <c r="M70" s="36">
        <f t="shared" si="2"/>
        <v>0</v>
      </c>
      <c r="N70" s="37" t="e">
        <f t="shared" si="3"/>
        <v>#DIV/0!</v>
      </c>
    </row>
    <row r="71" s="27" customFormat="1" ht="14">
      <c r="C71" s="40" t="s">
        <v>72</v>
      </c>
      <c r="D71" s="29"/>
      <c r="E71" s="30"/>
      <c r="F71" s="31"/>
      <c r="G71" s="32"/>
      <c r="H71" s="38"/>
      <c r="I71" s="34" t="s">
        <v>71</v>
      </c>
      <c r="J71" s="35"/>
      <c r="K71" s="36"/>
      <c r="L71" s="36"/>
      <c r="M71" s="36">
        <f t="shared" si="2"/>
        <v>0</v>
      </c>
      <c r="N71" s="37" t="e">
        <f t="shared" si="3"/>
        <v>#DIV/0!</v>
      </c>
    </row>
    <row r="72" s="27" customFormat="1" ht="14">
      <c r="C72" s="40" t="s">
        <v>73</v>
      </c>
      <c r="D72" s="29"/>
      <c r="E72" s="30"/>
      <c r="F72" s="31"/>
      <c r="G72" s="32"/>
      <c r="H72" s="38"/>
      <c r="I72" s="34" t="s">
        <v>71</v>
      </c>
      <c r="J72" s="35"/>
      <c r="K72" s="36"/>
      <c r="L72" s="36"/>
      <c r="M72" s="36"/>
      <c r="N72" s="37"/>
    </row>
    <row r="73" s="27" customFormat="1" ht="14">
      <c r="C73" s="40" t="s">
        <v>74</v>
      </c>
      <c r="D73" s="29"/>
      <c r="E73" s="30"/>
      <c r="F73" s="31"/>
      <c r="G73" s="32"/>
      <c r="H73" s="38"/>
      <c r="I73" s="34" t="s">
        <v>71</v>
      </c>
      <c r="J73" s="35"/>
      <c r="K73" s="36"/>
      <c r="L73" s="36"/>
      <c r="M73" s="36"/>
      <c r="N73" s="37"/>
    </row>
    <row r="74" s="27" customFormat="1" ht="14">
      <c r="C74" s="40" t="s">
        <v>75</v>
      </c>
      <c r="D74" s="29"/>
      <c r="E74" s="30"/>
      <c r="F74" s="31"/>
      <c r="G74" s="32"/>
      <c r="H74" s="38"/>
      <c r="I74" s="34" t="s">
        <v>71</v>
      </c>
      <c r="J74" s="35"/>
      <c r="K74" s="36"/>
      <c r="L74" s="36"/>
      <c r="M74" s="36"/>
      <c r="N74" s="37"/>
    </row>
    <row r="75" s="27" customFormat="1" ht="14">
      <c r="C75" s="40" t="s">
        <v>76</v>
      </c>
      <c r="D75" s="29"/>
      <c r="E75" s="30"/>
      <c r="F75" s="31"/>
      <c r="G75" s="32"/>
      <c r="H75" s="38"/>
      <c r="I75" s="34" t="s">
        <v>71</v>
      </c>
      <c r="J75" s="35"/>
      <c r="K75" s="36"/>
      <c r="L75" s="36"/>
      <c r="M75" s="36"/>
      <c r="N75" s="37"/>
    </row>
    <row r="76" s="27" customFormat="1" ht="14">
      <c r="C76" s="40" t="s">
        <v>77</v>
      </c>
      <c r="D76" s="29"/>
      <c r="E76" s="30"/>
      <c r="F76" s="31"/>
      <c r="G76" s="32"/>
      <c r="H76" s="38"/>
      <c r="I76" s="34" t="s">
        <v>71</v>
      </c>
      <c r="J76" s="35"/>
      <c r="K76" s="36"/>
      <c r="L76" s="36"/>
      <c r="M76" s="36"/>
      <c r="N76" s="37"/>
    </row>
    <row r="77" s="27" customFormat="1" ht="14">
      <c r="C77" s="40" t="s">
        <v>78</v>
      </c>
      <c r="D77" s="29"/>
      <c r="E77" s="30"/>
      <c r="F77" s="31"/>
      <c r="G77" s="32"/>
      <c r="H77" s="38"/>
      <c r="I77" s="34" t="s">
        <v>71</v>
      </c>
      <c r="J77" s="35"/>
      <c r="K77" s="36"/>
      <c r="L77" s="36"/>
      <c r="M77" s="36"/>
      <c r="N77" s="37"/>
    </row>
    <row r="78" s="27" customFormat="1" ht="14">
      <c r="C78" s="40" t="s">
        <v>79</v>
      </c>
      <c r="D78" s="29"/>
      <c r="E78" s="30"/>
      <c r="F78" s="31"/>
      <c r="G78" s="32"/>
      <c r="H78" s="38"/>
      <c r="I78" s="34" t="s">
        <v>71</v>
      </c>
      <c r="J78" s="35"/>
      <c r="K78" s="36"/>
      <c r="L78" s="36"/>
      <c r="M78" s="36"/>
      <c r="N78" s="37"/>
    </row>
    <row r="79" s="27" customFormat="1" ht="14">
      <c r="C79" s="40" t="s">
        <v>80</v>
      </c>
      <c r="D79" s="29"/>
      <c r="E79" s="30"/>
      <c r="F79" s="31"/>
      <c r="G79" s="32"/>
      <c r="H79" s="38"/>
      <c r="I79" s="34" t="s">
        <v>71</v>
      </c>
      <c r="J79" s="35"/>
      <c r="K79" s="36"/>
      <c r="L79" s="36"/>
      <c r="M79" s="36"/>
      <c r="N79" s="37"/>
    </row>
    <row r="80" s="27" customFormat="1" ht="14">
      <c r="C80" s="40" t="s">
        <v>81</v>
      </c>
      <c r="D80" s="29"/>
      <c r="E80" s="30"/>
      <c r="F80" s="31"/>
      <c r="G80" s="32"/>
      <c r="H80" s="38"/>
      <c r="I80" s="34" t="s">
        <v>71</v>
      </c>
      <c r="J80" s="35"/>
      <c r="K80" s="36"/>
      <c r="L80" s="36"/>
      <c r="M80" s="36"/>
      <c r="N80" s="37"/>
    </row>
    <row r="81" s="27" customFormat="1" ht="14">
      <c r="C81" s="40" t="s">
        <v>82</v>
      </c>
      <c r="D81" s="29"/>
      <c r="E81" s="30"/>
      <c r="F81" s="31"/>
      <c r="G81" s="32"/>
      <c r="H81" s="38"/>
      <c r="I81" s="34" t="s">
        <v>71</v>
      </c>
      <c r="J81" s="35"/>
      <c r="K81" s="36"/>
      <c r="L81" s="36"/>
      <c r="M81" s="36"/>
      <c r="N81" s="37"/>
    </row>
    <row r="82" s="27" customFormat="1" ht="14">
      <c r="C82" s="40" t="s">
        <v>83</v>
      </c>
      <c r="D82" s="29"/>
      <c r="E82" s="30"/>
      <c r="F82" s="31"/>
      <c r="G82" s="32"/>
      <c r="H82" s="38"/>
      <c r="I82" s="34" t="s">
        <v>71</v>
      </c>
      <c r="J82" s="35"/>
      <c r="K82" s="36"/>
      <c r="L82" s="36"/>
      <c r="M82" s="36"/>
      <c r="N82" s="37"/>
    </row>
    <row r="83" s="27" customFormat="1" ht="14">
      <c r="C83" s="40" t="s">
        <v>84</v>
      </c>
      <c r="D83" s="29"/>
      <c r="E83" s="30"/>
      <c r="F83" s="31"/>
      <c r="G83" s="32"/>
      <c r="H83" s="38"/>
      <c r="I83" s="34" t="s">
        <v>71</v>
      </c>
      <c r="J83" s="35"/>
      <c r="K83" s="36"/>
      <c r="L83" s="36"/>
      <c r="M83" s="36"/>
      <c r="N83" s="37"/>
    </row>
    <row r="84" s="27" customFormat="1" ht="14">
      <c r="C84" s="40" t="s">
        <v>85</v>
      </c>
      <c r="D84" s="29"/>
      <c r="E84" s="30"/>
      <c r="F84" s="31"/>
      <c r="G84" s="32"/>
      <c r="H84" s="38"/>
      <c r="I84" s="34" t="s">
        <v>71</v>
      </c>
      <c r="J84" s="35"/>
      <c r="K84" s="36"/>
      <c r="L84" s="36"/>
      <c r="M84" s="36"/>
      <c r="N84" s="37"/>
    </row>
    <row r="85" s="27" customFormat="1" ht="14">
      <c r="C85" s="40" t="s">
        <v>86</v>
      </c>
      <c r="D85" s="29"/>
      <c r="E85" s="30"/>
      <c r="F85" s="31"/>
      <c r="G85" s="32"/>
      <c r="H85" s="38"/>
      <c r="I85" s="34" t="s">
        <v>71</v>
      </c>
      <c r="J85" s="35"/>
      <c r="K85" s="36"/>
      <c r="L85" s="36"/>
      <c r="M85" s="36"/>
      <c r="N85" s="37"/>
    </row>
    <row r="86" s="27" customFormat="1" ht="14">
      <c r="C86" s="40" t="s">
        <v>87</v>
      </c>
      <c r="D86" s="29"/>
      <c r="E86" s="30"/>
      <c r="F86" s="31"/>
      <c r="G86" s="32"/>
      <c r="H86" s="38"/>
      <c r="I86" s="34" t="s">
        <v>71</v>
      </c>
      <c r="J86" s="35"/>
      <c r="K86" s="36"/>
      <c r="L86" s="36"/>
      <c r="M86" s="36"/>
      <c r="N86" s="37"/>
    </row>
    <row r="87" s="27" customFormat="1" ht="14">
      <c r="C87" s="40" t="s">
        <v>88</v>
      </c>
      <c r="D87" s="29"/>
      <c r="E87" s="30"/>
      <c r="F87" s="31"/>
      <c r="G87" s="32"/>
      <c r="H87" s="38"/>
      <c r="I87" s="34" t="s">
        <v>71</v>
      </c>
      <c r="J87" s="35"/>
      <c r="K87" s="36"/>
      <c r="L87" s="36"/>
      <c r="M87" s="36"/>
      <c r="N87" s="37"/>
    </row>
    <row r="88" s="27" customFormat="1" ht="14">
      <c r="C88" s="40" t="s">
        <v>89</v>
      </c>
      <c r="D88" s="29"/>
      <c r="E88" s="30"/>
      <c r="F88" s="31"/>
      <c r="G88" s="32"/>
      <c r="H88" s="38"/>
      <c r="I88" s="34" t="s">
        <v>71</v>
      </c>
      <c r="J88" s="35"/>
      <c r="K88" s="36"/>
      <c r="L88" s="36"/>
      <c r="M88" s="36"/>
      <c r="N88" s="37"/>
    </row>
    <row r="89" s="27" customFormat="1" ht="14">
      <c r="C89" s="40" t="s">
        <v>90</v>
      </c>
      <c r="D89" s="29"/>
      <c r="E89" s="30"/>
      <c r="F89" s="31"/>
      <c r="G89" s="32"/>
      <c r="H89" s="38"/>
      <c r="I89" s="34" t="s">
        <v>71</v>
      </c>
      <c r="J89" s="35"/>
      <c r="K89" s="36"/>
      <c r="L89" s="36"/>
      <c r="M89" s="36"/>
      <c r="N89" s="37"/>
    </row>
    <row r="90" s="27" customFormat="1" ht="14">
      <c r="C90" s="40" t="s">
        <v>91</v>
      </c>
      <c r="D90" s="29"/>
      <c r="E90" s="30"/>
      <c r="F90" s="31"/>
      <c r="G90" s="32"/>
      <c r="H90" s="38"/>
      <c r="I90" s="34" t="s">
        <v>71</v>
      </c>
      <c r="J90" s="35"/>
      <c r="K90" s="36"/>
      <c r="L90" s="36"/>
      <c r="M90" s="36"/>
      <c r="N90" s="37"/>
    </row>
    <row r="91" s="27" customFormat="1" ht="14">
      <c r="C91" s="40" t="s">
        <v>92</v>
      </c>
      <c r="D91" s="29"/>
      <c r="E91" s="30"/>
      <c r="F91" s="31"/>
      <c r="G91" s="32"/>
      <c r="H91" s="38"/>
      <c r="I91" s="34" t="s">
        <v>71</v>
      </c>
      <c r="J91" s="35"/>
      <c r="K91" s="36"/>
      <c r="L91" s="36"/>
      <c r="M91" s="36"/>
      <c r="N91" s="37"/>
    </row>
    <row r="92" s="27" customFormat="1" ht="14">
      <c r="C92" s="40" t="s">
        <v>93</v>
      </c>
      <c r="D92" s="29"/>
      <c r="E92" s="30"/>
      <c r="F92" s="31"/>
      <c r="G92" s="32"/>
      <c r="H92" s="38"/>
      <c r="I92" s="34" t="s">
        <v>71</v>
      </c>
      <c r="J92" s="35"/>
      <c r="K92" s="36"/>
      <c r="L92" s="36"/>
      <c r="M92" s="36"/>
      <c r="N92" s="37"/>
    </row>
    <row r="93" s="27" customFormat="1" ht="14">
      <c r="C93" s="40" t="s">
        <v>94</v>
      </c>
      <c r="D93" s="29"/>
      <c r="E93" s="30"/>
      <c r="F93" s="31"/>
      <c r="G93" s="32"/>
      <c r="H93" s="38"/>
      <c r="I93" s="34" t="s">
        <v>71</v>
      </c>
      <c r="J93" s="35"/>
      <c r="K93" s="36"/>
      <c r="L93" s="36"/>
      <c r="M93" s="36"/>
      <c r="N93" s="37"/>
    </row>
    <row r="94" s="27" customFormat="1" ht="14">
      <c r="C94" s="40" t="s">
        <v>95</v>
      </c>
      <c r="D94" s="53"/>
      <c r="E94" s="30"/>
      <c r="F94" s="31"/>
      <c r="G94" s="32"/>
      <c r="H94" s="38"/>
      <c r="I94" s="34" t="s">
        <v>71</v>
      </c>
      <c r="J94" s="35"/>
      <c r="K94" s="36"/>
      <c r="L94" s="36"/>
      <c r="M94" s="36"/>
      <c r="N94" s="37"/>
    </row>
    <row r="95" s="27" customFormat="1" ht="14">
      <c r="C95" s="40" t="s">
        <v>96</v>
      </c>
      <c r="D95" s="29"/>
      <c r="E95" s="30"/>
      <c r="F95" s="31"/>
      <c r="G95" s="32"/>
      <c r="H95" s="54"/>
      <c r="I95" s="34" t="s">
        <v>71</v>
      </c>
      <c r="J95" s="35"/>
      <c r="K95" s="36"/>
      <c r="L95" s="36"/>
      <c r="M95" s="36">
        <f t="shared" ref="M84:M103" si="4">MIN(J95:L95)</f>
        <v>0</v>
      </c>
      <c r="N95" s="37" t="e">
        <f t="shared" ref="N84:N103" si="5">SUM(M95/E95)</f>
        <v>#DIV/0!</v>
      </c>
    </row>
    <row r="96" s="27" customFormat="1">
      <c r="C96" s="55"/>
      <c r="D96" s="53"/>
      <c r="E96" s="56"/>
      <c r="F96" s="57"/>
      <c r="G96" s="58"/>
      <c r="H96" s="59"/>
      <c r="I96" s="34"/>
      <c r="J96" s="35"/>
      <c r="K96" s="36"/>
      <c r="L96" s="36"/>
      <c r="M96" s="36"/>
      <c r="N96" s="37"/>
    </row>
    <row r="97" s="27" customFormat="1">
      <c r="C97" s="40"/>
      <c r="D97" s="53"/>
      <c r="E97" s="56"/>
      <c r="F97" s="57"/>
      <c r="G97" s="58"/>
      <c r="H97" s="59"/>
      <c r="I97" s="60"/>
      <c r="J97" s="35"/>
      <c r="K97" s="36"/>
      <c r="L97" s="36"/>
      <c r="M97" s="36"/>
      <c r="N97" s="37"/>
    </row>
    <row r="98" s="2" customFormat="1" ht="12.75" customHeight="1">
      <c r="C98" s="61" t="s">
        <v>97</v>
      </c>
      <c r="D98" s="61"/>
      <c r="E98" s="62"/>
      <c r="F98" s="62"/>
      <c r="G98" s="62"/>
      <c r="H98" s="63"/>
      <c r="I98" s="64" t="s">
        <v>4</v>
      </c>
      <c r="J98" s="47"/>
      <c r="K98" s="48"/>
      <c r="L98" s="48"/>
      <c r="M98" s="36">
        <f t="shared" si="4"/>
        <v>0</v>
      </c>
      <c r="N98" s="37" t="e">
        <f t="shared" si="5"/>
        <v>#DIV/0!</v>
      </c>
    </row>
    <row r="99" s="2" customFormat="1" ht="15" customHeight="1">
      <c r="C99" s="61"/>
      <c r="D99" s="61"/>
      <c r="E99" s="49" t="s">
        <v>6</v>
      </c>
      <c r="F99" s="50"/>
      <c r="G99" s="51" t="s">
        <v>7</v>
      </c>
      <c r="H99" s="52" t="s">
        <v>8</v>
      </c>
      <c r="I99" s="64"/>
      <c r="J99" s="47"/>
      <c r="K99" s="48"/>
      <c r="L99" s="48"/>
      <c r="M99" s="36">
        <f t="shared" si="4"/>
        <v>0</v>
      </c>
      <c r="N99" s="37" t="e">
        <f t="shared" si="5"/>
        <v>#VALUE!</v>
      </c>
    </row>
    <row r="100" s="27" customFormat="1" ht="14">
      <c r="C100" s="28" t="s">
        <v>98</v>
      </c>
      <c r="D100" s="29"/>
      <c r="E100" s="30"/>
      <c r="F100" s="31"/>
      <c r="G100" s="32"/>
      <c r="H100" s="38"/>
      <c r="I100" s="34" t="s">
        <v>13</v>
      </c>
      <c r="J100" s="35"/>
      <c r="K100" s="36"/>
      <c r="L100" s="36"/>
      <c r="M100" s="36">
        <f t="shared" si="4"/>
        <v>0</v>
      </c>
      <c r="N100" s="37" t="e">
        <f t="shared" si="5"/>
        <v>#DIV/0!</v>
      </c>
    </row>
    <row r="101" s="27" customFormat="1" ht="14">
      <c r="C101" s="28" t="s">
        <v>99</v>
      </c>
      <c r="D101" s="29"/>
      <c r="E101" s="30"/>
      <c r="F101" s="31"/>
      <c r="G101" s="32"/>
      <c r="H101" s="38"/>
      <c r="I101" s="34" t="s">
        <v>13</v>
      </c>
      <c r="J101" s="35"/>
      <c r="K101" s="36"/>
      <c r="L101" s="36"/>
      <c r="M101" s="36">
        <f t="shared" si="4"/>
        <v>0</v>
      </c>
      <c r="N101" s="37" t="e">
        <f t="shared" si="5"/>
        <v>#DIV/0!</v>
      </c>
    </row>
    <row r="102" s="27" customFormat="1" ht="14">
      <c r="C102" s="28" t="s">
        <v>100</v>
      </c>
      <c r="D102" s="29"/>
      <c r="E102" s="30"/>
      <c r="F102" s="31"/>
      <c r="G102" s="32"/>
      <c r="H102" s="38"/>
      <c r="I102" s="34" t="s">
        <v>13</v>
      </c>
      <c r="J102" s="35"/>
      <c r="K102" s="36"/>
      <c r="L102" s="36"/>
      <c r="M102" s="36">
        <f t="shared" si="4"/>
        <v>0</v>
      </c>
      <c r="N102" s="37" t="e">
        <f t="shared" si="5"/>
        <v>#DIV/0!</v>
      </c>
    </row>
    <row r="103" s="27" customFormat="1" ht="14">
      <c r="C103" s="39" t="s">
        <v>101</v>
      </c>
      <c r="D103" s="29"/>
      <c r="E103" s="30"/>
      <c r="F103" s="31"/>
      <c r="G103" s="32"/>
      <c r="H103" s="38"/>
      <c r="I103" s="34" t="s">
        <v>13</v>
      </c>
      <c r="J103" s="35"/>
      <c r="K103" s="36"/>
      <c r="L103" s="36"/>
      <c r="M103" s="36">
        <f t="shared" si="4"/>
        <v>0</v>
      </c>
      <c r="N103" s="37" t="e">
        <f t="shared" si="5"/>
        <v>#DIV/0!</v>
      </c>
    </row>
    <row r="104" s="27" customFormat="1" ht="14">
      <c r="C104" s="39" t="s">
        <v>102</v>
      </c>
      <c r="D104" s="29"/>
      <c r="E104" s="30"/>
      <c r="F104" s="31"/>
      <c r="G104" s="32"/>
      <c r="H104" s="38"/>
      <c r="I104" s="34" t="s">
        <v>13</v>
      </c>
      <c r="J104" s="35"/>
      <c r="K104" s="36"/>
      <c r="L104" s="36"/>
      <c r="M104" s="36"/>
      <c r="N104" s="37"/>
    </row>
    <row r="105" s="27" customFormat="1" ht="14">
      <c r="C105" s="40" t="s">
        <v>103</v>
      </c>
      <c r="D105" s="29"/>
      <c r="E105" s="30"/>
      <c r="F105" s="31"/>
      <c r="G105" s="32"/>
      <c r="H105" s="38"/>
      <c r="I105" s="34" t="s">
        <v>13</v>
      </c>
      <c r="J105" s="35"/>
      <c r="K105" s="36"/>
      <c r="L105" s="36"/>
      <c r="M105" s="36">
        <f>MIN(J105:L105)</f>
        <v>0</v>
      </c>
      <c r="N105" s="37" t="e">
        <f>SUM(M105/E105)</f>
        <v>#DIV/0!</v>
      </c>
    </row>
    <row r="106" s="27" customFormat="1" ht="14">
      <c r="C106" s="40" t="s">
        <v>104</v>
      </c>
      <c r="D106" s="29"/>
      <c r="E106" s="30"/>
      <c r="F106" s="31"/>
      <c r="G106" s="32"/>
      <c r="H106" s="38"/>
      <c r="I106" s="34" t="s">
        <v>13</v>
      </c>
      <c r="J106" s="35"/>
      <c r="K106" s="36"/>
      <c r="L106" s="36"/>
      <c r="M106" s="36"/>
      <c r="N106" s="37"/>
    </row>
    <row r="107" s="27" customFormat="1" ht="14">
      <c r="C107" s="40" t="s">
        <v>105</v>
      </c>
      <c r="D107" s="29"/>
      <c r="E107" s="30"/>
      <c r="F107" s="31"/>
      <c r="G107" s="32"/>
      <c r="H107" s="38"/>
      <c r="I107" s="34" t="s">
        <v>11</v>
      </c>
      <c r="J107" s="35"/>
      <c r="K107" s="36"/>
      <c r="L107" s="36"/>
      <c r="M107" s="36"/>
      <c r="N107" s="37"/>
    </row>
    <row r="108" s="27" customFormat="1" ht="14">
      <c r="C108" s="40" t="s">
        <v>106</v>
      </c>
      <c r="D108" s="29"/>
      <c r="E108" s="30"/>
      <c r="F108" s="31"/>
      <c r="G108" s="32"/>
      <c r="H108" s="38"/>
      <c r="I108" s="34" t="s">
        <v>11</v>
      </c>
      <c r="J108" s="35"/>
      <c r="K108" s="36"/>
      <c r="L108" s="36"/>
      <c r="M108" s="36"/>
      <c r="N108" s="37"/>
    </row>
    <row r="109" s="27" customFormat="1" ht="14">
      <c r="C109" s="40" t="s">
        <v>107</v>
      </c>
      <c r="D109" s="29"/>
      <c r="E109" s="30"/>
      <c r="F109" s="31"/>
      <c r="G109" s="32"/>
      <c r="H109" s="38"/>
      <c r="I109" s="34" t="s">
        <v>13</v>
      </c>
      <c r="J109" s="35"/>
      <c r="K109" s="36"/>
      <c r="L109" s="36"/>
      <c r="M109" s="36"/>
      <c r="N109" s="37"/>
    </row>
    <row r="110" s="27" customFormat="1" ht="14">
      <c r="C110" s="40" t="s">
        <v>108</v>
      </c>
      <c r="D110" s="29"/>
      <c r="E110" s="30"/>
      <c r="F110" s="31"/>
      <c r="G110" s="32"/>
      <c r="H110" s="38"/>
      <c r="I110" s="34" t="s">
        <v>13</v>
      </c>
      <c r="J110" s="35"/>
      <c r="K110" s="36"/>
      <c r="L110" s="36"/>
      <c r="M110" s="36"/>
      <c r="N110" s="37"/>
    </row>
    <row r="111" s="27" customFormat="1" ht="14">
      <c r="C111" s="40" t="s">
        <v>109</v>
      </c>
      <c r="D111" s="29"/>
      <c r="E111" s="30"/>
      <c r="F111" s="31"/>
      <c r="G111" s="32"/>
      <c r="H111" s="38"/>
      <c r="I111" s="34" t="s">
        <v>13</v>
      </c>
      <c r="J111" s="35"/>
      <c r="K111" s="36"/>
      <c r="L111" s="36"/>
      <c r="M111" s="36"/>
      <c r="N111" s="37"/>
    </row>
    <row r="112" s="27" customFormat="1" ht="14">
      <c r="C112" s="40" t="s">
        <v>110</v>
      </c>
      <c r="D112" s="29"/>
      <c r="E112" s="30"/>
      <c r="F112" s="31"/>
      <c r="G112" s="32"/>
      <c r="H112" s="38"/>
      <c r="I112" s="34" t="s">
        <v>13</v>
      </c>
      <c r="J112" s="35"/>
      <c r="K112" s="36"/>
      <c r="L112" s="36"/>
      <c r="M112" s="36"/>
      <c r="N112" s="37"/>
    </row>
    <row r="113" s="27" customFormat="1" ht="14">
      <c r="C113" s="40" t="s">
        <v>111</v>
      </c>
      <c r="D113" s="29"/>
      <c r="E113" s="30"/>
      <c r="F113" s="31"/>
      <c r="G113" s="32"/>
      <c r="H113" s="38"/>
      <c r="I113" s="34" t="s">
        <v>13</v>
      </c>
      <c r="J113" s="35"/>
      <c r="K113" s="36"/>
      <c r="L113" s="36"/>
      <c r="M113" s="36"/>
      <c r="N113" s="37"/>
    </row>
    <row r="114" s="27" customFormat="1" ht="14">
      <c r="C114" s="40" t="s">
        <v>112</v>
      </c>
      <c r="D114" s="29"/>
      <c r="E114" s="30"/>
      <c r="F114" s="31"/>
      <c r="G114" s="32"/>
      <c r="H114" s="38"/>
      <c r="I114" s="34" t="s">
        <v>13</v>
      </c>
      <c r="J114" s="35"/>
      <c r="K114" s="36"/>
      <c r="L114" s="36"/>
      <c r="M114" s="36"/>
      <c r="N114" s="37"/>
    </row>
    <row r="115" s="27" customFormat="1" ht="14">
      <c r="C115" s="40" t="s">
        <v>113</v>
      </c>
      <c r="D115" s="29"/>
      <c r="E115" s="30"/>
      <c r="F115" s="31"/>
      <c r="G115" s="32"/>
      <c r="H115" s="38"/>
      <c r="I115" s="34" t="s">
        <v>13</v>
      </c>
      <c r="J115" s="35"/>
      <c r="K115" s="36"/>
      <c r="L115" s="36"/>
      <c r="M115" s="36"/>
      <c r="N115" s="37"/>
    </row>
    <row r="116" s="27" customFormat="1" ht="14">
      <c r="C116" s="40" t="s">
        <v>114</v>
      </c>
      <c r="D116" s="29"/>
      <c r="E116" s="30"/>
      <c r="F116" s="31"/>
      <c r="G116" s="32"/>
      <c r="H116" s="38"/>
      <c r="I116" s="34" t="s">
        <v>13</v>
      </c>
      <c r="J116" s="35"/>
      <c r="K116" s="36"/>
      <c r="L116" s="36"/>
      <c r="M116" s="36"/>
      <c r="N116" s="37"/>
    </row>
    <row r="117" s="27" customFormat="1" ht="14">
      <c r="C117" s="40" t="s">
        <v>115</v>
      </c>
      <c r="D117" s="29"/>
      <c r="E117" s="30"/>
      <c r="F117" s="31"/>
      <c r="G117" s="32"/>
      <c r="H117" s="38"/>
      <c r="I117" s="34" t="s">
        <v>13</v>
      </c>
      <c r="J117" s="35"/>
      <c r="K117" s="36"/>
      <c r="L117" s="36"/>
      <c r="M117" s="36"/>
      <c r="N117" s="37"/>
    </row>
    <row r="118" s="27" customFormat="1" ht="14">
      <c r="C118" s="40" t="s">
        <v>116</v>
      </c>
      <c r="D118" s="29"/>
      <c r="E118" s="30"/>
      <c r="F118" s="31"/>
      <c r="G118" s="32"/>
      <c r="H118" s="38"/>
      <c r="I118" s="34" t="s">
        <v>13</v>
      </c>
      <c r="J118" s="35"/>
      <c r="K118" s="36"/>
      <c r="L118" s="36"/>
      <c r="M118" s="36"/>
      <c r="N118" s="37"/>
    </row>
    <row r="119" s="27" customFormat="1">
      <c r="C119" s="40"/>
      <c r="D119" s="29"/>
      <c r="E119" s="30"/>
      <c r="F119" s="31"/>
      <c r="G119" s="32"/>
      <c r="H119" s="38"/>
      <c r="I119" s="43"/>
      <c r="J119" s="35"/>
      <c r="K119" s="36"/>
      <c r="L119" s="36"/>
      <c r="M119" s="36"/>
      <c r="N119" s="37"/>
    </row>
    <row r="120" s="27" customFormat="1">
      <c r="C120" s="40"/>
      <c r="D120" s="29"/>
      <c r="E120" s="30"/>
      <c r="F120" s="31"/>
      <c r="G120" s="32"/>
      <c r="H120" s="38"/>
      <c r="I120" s="43"/>
      <c r="J120" s="35"/>
      <c r="K120" s="36"/>
      <c r="L120" s="36"/>
      <c r="M120" s="36"/>
      <c r="N120" s="37"/>
    </row>
    <row r="121" s="27" customFormat="1">
      <c r="C121" s="40"/>
      <c r="D121" s="29"/>
      <c r="E121" s="30"/>
      <c r="F121" s="31"/>
      <c r="G121" s="32"/>
      <c r="H121" s="38"/>
      <c r="I121" s="43"/>
      <c r="J121" s="35"/>
      <c r="K121" s="36"/>
      <c r="L121" s="36"/>
      <c r="M121" s="36"/>
      <c r="N121" s="37"/>
    </row>
    <row r="122" s="27" customFormat="1">
      <c r="C122" s="40"/>
      <c r="D122" s="29"/>
      <c r="E122" s="30"/>
      <c r="F122" s="31"/>
      <c r="G122" s="32"/>
      <c r="H122" s="38"/>
      <c r="I122" s="43"/>
      <c r="J122" s="35"/>
      <c r="K122" s="36"/>
      <c r="L122" s="36"/>
      <c r="M122" s="36"/>
      <c r="N122" s="37"/>
    </row>
    <row r="123" s="27" customFormat="1">
      <c r="C123" s="40"/>
      <c r="D123" s="29"/>
      <c r="E123" s="30"/>
      <c r="F123" s="31"/>
      <c r="G123" s="32"/>
      <c r="H123" s="38"/>
      <c r="I123" s="43"/>
      <c r="J123" s="35"/>
      <c r="K123" s="36"/>
      <c r="L123" s="36"/>
      <c r="M123" s="36">
        <f t="shared" ref="M123:M186" si="6">MIN(J123:L123)</f>
        <v>0</v>
      </c>
      <c r="N123" s="37" t="e">
        <f t="shared" ref="N123:N186" si="7">SUM(M123/E123)</f>
        <v>#DIV/0!</v>
      </c>
    </row>
    <row r="124" s="2" customFormat="1" ht="12.75" customHeight="1">
      <c r="C124" s="65" t="s">
        <v>117</v>
      </c>
      <c r="D124" s="65"/>
      <c r="E124" s="45"/>
      <c r="F124" s="45"/>
      <c r="G124" s="45"/>
      <c r="H124" s="46"/>
      <c r="I124" s="15" t="s">
        <v>4</v>
      </c>
      <c r="J124" s="47"/>
      <c r="K124" s="48"/>
      <c r="L124" s="48"/>
      <c r="M124" s="36">
        <f t="shared" si="6"/>
        <v>0</v>
      </c>
      <c r="N124" s="37" t="e">
        <f t="shared" si="7"/>
        <v>#DIV/0!</v>
      </c>
    </row>
    <row r="125" s="2" customFormat="1" ht="15" customHeight="1">
      <c r="C125" s="65"/>
      <c r="D125" s="65"/>
      <c r="E125" s="49" t="s">
        <v>6</v>
      </c>
      <c r="F125" s="50"/>
      <c r="G125" s="51" t="s">
        <v>7</v>
      </c>
      <c r="H125" s="52" t="s">
        <v>8</v>
      </c>
      <c r="I125" s="15"/>
      <c r="J125" s="47"/>
      <c r="K125" s="48"/>
      <c r="L125" s="48"/>
      <c r="M125" s="36">
        <f t="shared" si="6"/>
        <v>0</v>
      </c>
      <c r="N125" s="37" t="e">
        <f t="shared" si="7"/>
        <v>#VALUE!</v>
      </c>
    </row>
    <row r="126" s="27" customFormat="1" ht="14">
      <c r="C126" s="28" t="s">
        <v>118</v>
      </c>
      <c r="D126" s="29"/>
      <c r="E126" s="30"/>
      <c r="F126" s="31"/>
      <c r="G126" s="32"/>
      <c r="H126" s="38"/>
      <c r="I126" s="66" t="s">
        <v>11</v>
      </c>
      <c r="J126" s="35"/>
      <c r="K126" s="36"/>
      <c r="L126" s="36"/>
      <c r="M126" s="36">
        <f t="shared" si="6"/>
        <v>0</v>
      </c>
      <c r="N126" s="37" t="e">
        <f t="shared" si="7"/>
        <v>#DIV/0!</v>
      </c>
    </row>
    <row r="127" s="27" customFormat="1" ht="14">
      <c r="C127" s="28" t="s">
        <v>119</v>
      </c>
      <c r="D127" s="29"/>
      <c r="E127" s="30"/>
      <c r="F127" s="31"/>
      <c r="G127" s="32"/>
      <c r="H127" s="38"/>
      <c r="I127" s="66" t="s">
        <v>11</v>
      </c>
      <c r="J127" s="35"/>
      <c r="K127" s="36"/>
      <c r="L127" s="36"/>
      <c r="M127" s="36">
        <f t="shared" si="6"/>
        <v>0</v>
      </c>
      <c r="N127" s="37" t="e">
        <f t="shared" si="7"/>
        <v>#DIV/0!</v>
      </c>
    </row>
    <row r="128" s="27" customFormat="1" ht="14">
      <c r="C128" s="28" t="s">
        <v>120</v>
      </c>
      <c r="D128" s="29"/>
      <c r="E128" s="30"/>
      <c r="F128" s="31"/>
      <c r="G128" s="32"/>
      <c r="H128" s="38"/>
      <c r="I128" s="66" t="s">
        <v>13</v>
      </c>
      <c r="J128" s="35"/>
      <c r="K128" s="36"/>
      <c r="L128" s="36"/>
      <c r="M128" s="36">
        <f t="shared" si="6"/>
        <v>0</v>
      </c>
      <c r="N128" s="37" t="e">
        <f t="shared" si="7"/>
        <v>#DIV/0!</v>
      </c>
    </row>
    <row r="129" s="27" customFormat="1" ht="14">
      <c r="C129" s="28" t="s">
        <v>121</v>
      </c>
      <c r="D129" s="29"/>
      <c r="E129" s="30"/>
      <c r="F129" s="31"/>
      <c r="G129" s="32"/>
      <c r="H129" s="38"/>
      <c r="I129" s="66" t="s">
        <v>11</v>
      </c>
      <c r="J129" s="35"/>
      <c r="K129" s="36"/>
      <c r="L129" s="36"/>
      <c r="M129" s="36">
        <f t="shared" si="6"/>
        <v>0</v>
      </c>
      <c r="N129" s="37" t="e">
        <f t="shared" si="7"/>
        <v>#DIV/0!</v>
      </c>
    </row>
    <row r="130" s="27" customFormat="1" ht="14">
      <c r="C130" s="28" t="s">
        <v>122</v>
      </c>
      <c r="D130" s="29"/>
      <c r="E130" s="30"/>
      <c r="F130" s="31"/>
      <c r="G130" s="32"/>
      <c r="H130" s="38"/>
      <c r="I130" s="66" t="s">
        <v>13</v>
      </c>
      <c r="J130" s="35"/>
      <c r="K130" s="36"/>
      <c r="L130" s="36"/>
      <c r="M130" s="36">
        <f t="shared" si="6"/>
        <v>0</v>
      </c>
      <c r="N130" s="37" t="e">
        <f t="shared" si="7"/>
        <v>#DIV/0!</v>
      </c>
    </row>
    <row r="131" s="27" customFormat="1" ht="14">
      <c r="C131" s="28" t="s">
        <v>123</v>
      </c>
      <c r="D131" s="29"/>
      <c r="E131" s="30"/>
      <c r="F131" s="31"/>
      <c r="G131" s="32"/>
      <c r="H131" s="38"/>
      <c r="I131" s="66" t="s">
        <v>13</v>
      </c>
      <c r="J131" s="35"/>
      <c r="K131" s="36"/>
      <c r="L131" s="36"/>
      <c r="M131" s="36">
        <f t="shared" si="6"/>
        <v>0</v>
      </c>
      <c r="N131" s="37" t="e">
        <f t="shared" si="7"/>
        <v>#DIV/0!</v>
      </c>
    </row>
    <row r="132" s="27" customFormat="1" ht="14">
      <c r="C132" s="28" t="s">
        <v>124</v>
      </c>
      <c r="D132" s="29"/>
      <c r="E132" s="30"/>
      <c r="F132" s="31"/>
      <c r="G132" s="32"/>
      <c r="H132" s="38"/>
      <c r="I132" s="66" t="s">
        <v>13</v>
      </c>
      <c r="J132" s="35"/>
      <c r="K132" s="36"/>
      <c r="L132" s="36"/>
      <c r="M132" s="36">
        <f t="shared" si="6"/>
        <v>0</v>
      </c>
      <c r="N132" s="37" t="e">
        <f t="shared" si="7"/>
        <v>#DIV/0!</v>
      </c>
    </row>
    <row r="133" s="27" customFormat="1" ht="14">
      <c r="C133" s="40" t="s">
        <v>125</v>
      </c>
      <c r="D133" s="29"/>
      <c r="E133" s="30"/>
      <c r="F133" s="31"/>
      <c r="G133" s="32"/>
      <c r="H133" s="38"/>
      <c r="I133" s="66" t="s">
        <v>13</v>
      </c>
      <c r="J133" s="35"/>
      <c r="K133" s="36"/>
      <c r="L133" s="36"/>
      <c r="M133" s="36">
        <f t="shared" si="6"/>
        <v>0</v>
      </c>
      <c r="N133" s="37" t="e">
        <f t="shared" si="7"/>
        <v>#DIV/0!</v>
      </c>
    </row>
    <row r="134" s="27" customFormat="1">
      <c r="C134" s="40"/>
      <c r="D134" s="29"/>
      <c r="E134" s="30"/>
      <c r="F134" s="31"/>
      <c r="G134" s="32"/>
      <c r="H134" s="38"/>
      <c r="I134" s="43"/>
      <c r="J134" s="35"/>
      <c r="K134" s="36"/>
      <c r="L134" s="36"/>
      <c r="M134" s="36">
        <f t="shared" si="6"/>
        <v>0</v>
      </c>
      <c r="N134" s="37" t="e">
        <f t="shared" si="7"/>
        <v>#DIV/0!</v>
      </c>
    </row>
    <row r="135" s="27" customFormat="1">
      <c r="C135" s="40"/>
      <c r="D135" s="29"/>
      <c r="E135" s="30"/>
      <c r="F135" s="31"/>
      <c r="G135" s="32"/>
      <c r="H135" s="38"/>
      <c r="I135" s="43"/>
      <c r="J135" s="35"/>
      <c r="K135" s="36"/>
      <c r="L135" s="36"/>
      <c r="M135" s="36">
        <f t="shared" si="6"/>
        <v>0</v>
      </c>
      <c r="N135" s="37" t="e">
        <f t="shared" si="7"/>
        <v>#DIV/0!</v>
      </c>
    </row>
    <row r="136" s="27" customFormat="1" ht="14">
      <c r="C136" s="40" t="s">
        <v>126</v>
      </c>
      <c r="D136" s="29"/>
      <c r="E136" s="30"/>
      <c r="F136" s="31"/>
      <c r="G136" s="32"/>
      <c r="H136" s="38"/>
      <c r="I136" s="66" t="s">
        <v>13</v>
      </c>
      <c r="J136" s="35"/>
      <c r="K136" s="36"/>
      <c r="L136" s="36"/>
      <c r="M136" s="36"/>
      <c r="N136" s="37"/>
    </row>
    <row r="137" s="27" customFormat="1" ht="14">
      <c r="C137" s="40" t="s">
        <v>127</v>
      </c>
      <c r="D137" s="29"/>
      <c r="E137" s="30"/>
      <c r="F137" s="31"/>
      <c r="G137" s="32"/>
      <c r="H137" s="38"/>
      <c r="I137" s="34" t="s">
        <v>11</v>
      </c>
      <c r="J137" s="35"/>
      <c r="K137" s="36"/>
      <c r="L137" s="36"/>
      <c r="M137" s="36"/>
      <c r="N137" s="37"/>
    </row>
    <row r="138" s="27" customFormat="1" ht="14">
      <c r="C138" s="40" t="s">
        <v>128</v>
      </c>
      <c r="D138" s="29"/>
      <c r="E138" s="30"/>
      <c r="F138" s="31"/>
      <c r="G138" s="32"/>
      <c r="H138" s="38"/>
      <c r="I138" s="34" t="s">
        <v>11</v>
      </c>
      <c r="J138" s="35"/>
      <c r="K138" s="36"/>
      <c r="L138" s="36"/>
      <c r="M138" s="36"/>
      <c r="N138" s="37"/>
    </row>
    <row r="139" s="27" customFormat="1" ht="14">
      <c r="C139" s="40" t="s">
        <v>129</v>
      </c>
      <c r="D139" s="29"/>
      <c r="E139" s="30"/>
      <c r="F139" s="31"/>
      <c r="G139" s="32"/>
      <c r="H139" s="38"/>
      <c r="I139" s="34" t="s">
        <v>13</v>
      </c>
      <c r="J139" s="35"/>
      <c r="K139" s="36"/>
      <c r="L139" s="36"/>
      <c r="M139" s="36"/>
      <c r="N139" s="37"/>
    </row>
    <row r="140" s="27" customFormat="1" ht="14">
      <c r="C140" s="40" t="s">
        <v>130</v>
      </c>
      <c r="D140" s="29"/>
      <c r="E140" s="30"/>
      <c r="F140" s="31"/>
      <c r="G140" s="32"/>
      <c r="H140" s="38"/>
      <c r="I140" s="34" t="s">
        <v>13</v>
      </c>
      <c r="J140" s="35"/>
      <c r="K140" s="36"/>
      <c r="L140" s="36"/>
      <c r="M140" s="36">
        <f t="shared" si="6"/>
        <v>0</v>
      </c>
      <c r="N140" s="37" t="e">
        <f t="shared" si="7"/>
        <v>#DIV/0!</v>
      </c>
    </row>
    <row r="141" s="2" customFormat="1" ht="12.75" customHeight="1">
      <c r="C141" s="65" t="s">
        <v>131</v>
      </c>
      <c r="D141" s="65"/>
      <c r="E141" s="45"/>
      <c r="F141" s="45"/>
      <c r="G141" s="45"/>
      <c r="H141" s="46"/>
      <c r="I141" s="15" t="s">
        <v>4</v>
      </c>
      <c r="J141" s="47"/>
      <c r="K141" s="48"/>
      <c r="L141" s="48"/>
      <c r="M141" s="36">
        <f t="shared" si="6"/>
        <v>0</v>
      </c>
      <c r="N141" s="37" t="e">
        <f t="shared" si="7"/>
        <v>#DIV/0!</v>
      </c>
    </row>
    <row r="142" s="2" customFormat="1" ht="15" customHeight="1">
      <c r="C142" s="65"/>
      <c r="D142" s="65"/>
      <c r="E142" s="49" t="s">
        <v>6</v>
      </c>
      <c r="F142" s="50"/>
      <c r="G142" s="51" t="s">
        <v>7</v>
      </c>
      <c r="H142" s="52" t="s">
        <v>8</v>
      </c>
      <c r="I142" s="15"/>
      <c r="J142" s="47"/>
      <c r="K142" s="48"/>
      <c r="L142" s="48"/>
      <c r="M142" s="36">
        <f t="shared" si="6"/>
        <v>0</v>
      </c>
      <c r="N142" s="37" t="e">
        <f t="shared" si="7"/>
        <v>#VALUE!</v>
      </c>
    </row>
    <row r="143" s="27" customFormat="1" ht="14">
      <c r="C143" s="39" t="s">
        <v>132</v>
      </c>
      <c r="D143" s="29"/>
      <c r="E143" s="30"/>
      <c r="F143" s="31"/>
      <c r="G143" s="32"/>
      <c r="H143" s="38"/>
      <c r="I143" s="66" t="s">
        <v>13</v>
      </c>
      <c r="J143" s="35"/>
      <c r="K143" s="36"/>
      <c r="L143" s="36"/>
      <c r="M143" s="36">
        <f t="shared" si="6"/>
        <v>0</v>
      </c>
      <c r="N143" s="37" t="e">
        <f t="shared" si="7"/>
        <v>#DIV/0!</v>
      </c>
    </row>
    <row r="144" s="27" customFormat="1" ht="14">
      <c r="C144" s="39" t="s">
        <v>133</v>
      </c>
      <c r="D144" s="29"/>
      <c r="E144" s="30"/>
      <c r="F144" s="31"/>
      <c r="G144" s="32"/>
      <c r="H144" s="38"/>
      <c r="I144" s="66" t="s">
        <v>13</v>
      </c>
      <c r="J144" s="35"/>
      <c r="K144" s="36"/>
      <c r="L144" s="36"/>
      <c r="M144" s="36">
        <f t="shared" si="6"/>
        <v>0</v>
      </c>
      <c r="N144" s="37" t="e">
        <f t="shared" si="7"/>
        <v>#DIV/0!</v>
      </c>
    </row>
    <row r="145" s="27" customFormat="1" ht="14">
      <c r="C145" s="39" t="s">
        <v>134</v>
      </c>
      <c r="D145" s="29"/>
      <c r="E145" s="30"/>
      <c r="F145" s="31"/>
      <c r="G145" s="32"/>
      <c r="H145" s="38"/>
      <c r="I145" s="66" t="s">
        <v>13</v>
      </c>
      <c r="J145" s="35"/>
      <c r="K145" s="36"/>
      <c r="L145" s="36"/>
      <c r="M145" s="36">
        <f t="shared" si="6"/>
        <v>0</v>
      </c>
      <c r="N145" s="37" t="e">
        <f t="shared" si="7"/>
        <v>#DIV/0!</v>
      </c>
    </row>
    <row r="146" s="27" customFormat="1" ht="14">
      <c r="C146" s="39" t="s">
        <v>135</v>
      </c>
      <c r="D146" s="29"/>
      <c r="E146" s="30"/>
      <c r="F146" s="31"/>
      <c r="G146" s="32"/>
      <c r="H146" s="38"/>
      <c r="I146" s="66" t="s">
        <v>13</v>
      </c>
      <c r="J146" s="35"/>
      <c r="K146" s="36"/>
      <c r="L146" s="36"/>
      <c r="M146" s="36">
        <f t="shared" si="6"/>
        <v>0</v>
      </c>
      <c r="N146" s="37" t="e">
        <f t="shared" si="7"/>
        <v>#DIV/0!</v>
      </c>
    </row>
    <row r="147" s="27" customFormat="1" ht="14">
      <c r="C147" s="39" t="s">
        <v>136</v>
      </c>
      <c r="D147" s="29"/>
      <c r="E147" s="30"/>
      <c r="F147" s="31"/>
      <c r="G147" s="32"/>
      <c r="H147" s="38"/>
      <c r="I147" s="66" t="s">
        <v>13</v>
      </c>
      <c r="J147" s="35"/>
      <c r="K147" s="36"/>
      <c r="L147" s="36"/>
      <c r="M147" s="36">
        <f t="shared" si="6"/>
        <v>0</v>
      </c>
      <c r="N147" s="37" t="e">
        <f t="shared" si="7"/>
        <v>#DIV/0!</v>
      </c>
    </row>
    <row r="148" s="27" customFormat="1">
      <c r="C148" s="39" t="s">
        <v>137</v>
      </c>
      <c r="D148" s="29"/>
      <c r="E148" s="30"/>
      <c r="F148" s="31"/>
      <c r="G148" s="32"/>
      <c r="H148" s="38"/>
      <c r="I148" s="67"/>
      <c r="J148" s="35"/>
      <c r="K148" s="36"/>
      <c r="L148" s="36"/>
      <c r="M148" s="36">
        <f t="shared" si="6"/>
        <v>0</v>
      </c>
      <c r="N148" s="37" t="e">
        <f t="shared" si="7"/>
        <v>#DIV/0!</v>
      </c>
    </row>
    <row r="149" s="27" customFormat="1" ht="14">
      <c r="C149" s="39" t="s">
        <v>138</v>
      </c>
      <c r="D149" s="29"/>
      <c r="E149" s="30"/>
      <c r="F149" s="31"/>
      <c r="G149" s="32"/>
      <c r="H149" s="38"/>
      <c r="I149" s="66" t="s">
        <v>13</v>
      </c>
      <c r="J149" s="35"/>
      <c r="K149" s="36"/>
      <c r="L149" s="36"/>
      <c r="M149" s="36">
        <f t="shared" si="6"/>
        <v>0</v>
      </c>
      <c r="N149" s="37" t="e">
        <f t="shared" si="7"/>
        <v>#DIV/0!</v>
      </c>
    </row>
    <row r="150" s="27" customFormat="1" ht="14">
      <c r="C150" s="39" t="s">
        <v>139</v>
      </c>
      <c r="D150" s="29"/>
      <c r="E150" s="30"/>
      <c r="F150" s="31"/>
      <c r="G150" s="32"/>
      <c r="H150" s="38"/>
      <c r="I150" s="66" t="s">
        <v>13</v>
      </c>
      <c r="J150" s="35"/>
      <c r="K150" s="36"/>
      <c r="L150" s="36"/>
      <c r="M150" s="36">
        <f t="shared" si="6"/>
        <v>0</v>
      </c>
      <c r="N150" s="37" t="e">
        <f t="shared" si="7"/>
        <v>#DIV/0!</v>
      </c>
    </row>
    <row r="151" s="27" customFormat="1" ht="14">
      <c r="C151" s="39" t="s">
        <v>140</v>
      </c>
      <c r="D151" s="29"/>
      <c r="E151" s="30"/>
      <c r="F151" s="31"/>
      <c r="G151" s="32"/>
      <c r="H151" s="38"/>
      <c r="I151" s="66" t="s">
        <v>13</v>
      </c>
      <c r="J151" s="35"/>
      <c r="K151" s="36"/>
      <c r="L151" s="36"/>
      <c r="M151" s="36"/>
      <c r="N151" s="37"/>
    </row>
    <row r="152" s="27" customFormat="1" ht="14">
      <c r="C152" s="39" t="s">
        <v>141</v>
      </c>
      <c r="D152" s="29"/>
      <c r="E152" s="30"/>
      <c r="F152" s="31"/>
      <c r="G152" s="32"/>
      <c r="H152" s="38"/>
      <c r="I152" s="66" t="s">
        <v>13</v>
      </c>
      <c r="J152" s="35"/>
      <c r="K152" s="36"/>
      <c r="L152" s="36"/>
      <c r="M152" s="36"/>
      <c r="N152" s="37"/>
    </row>
    <row r="153" s="27" customFormat="1" ht="14">
      <c r="C153" s="39" t="s">
        <v>142</v>
      </c>
      <c r="D153" s="29"/>
      <c r="E153" s="30"/>
      <c r="F153" s="31"/>
      <c r="G153" s="32"/>
      <c r="H153" s="38"/>
      <c r="I153" s="66" t="s">
        <v>11</v>
      </c>
      <c r="J153" s="35"/>
      <c r="K153" s="36"/>
      <c r="L153" s="36"/>
      <c r="M153" s="36"/>
      <c r="N153" s="37"/>
    </row>
    <row r="154" s="27" customFormat="1">
      <c r="C154" s="39" t="s">
        <v>143</v>
      </c>
      <c r="D154" s="29"/>
      <c r="E154" s="30"/>
      <c r="F154" s="31"/>
      <c r="G154" s="32"/>
      <c r="H154" s="38"/>
      <c r="I154" s="67"/>
      <c r="J154" s="35"/>
      <c r="K154" s="36"/>
      <c r="L154" s="36"/>
      <c r="M154" s="36"/>
      <c r="N154" s="37"/>
    </row>
    <row r="155" s="27" customFormat="1" ht="14">
      <c r="C155" s="39" t="s">
        <v>144</v>
      </c>
      <c r="D155" s="29"/>
      <c r="E155" s="30"/>
      <c r="F155" s="31"/>
      <c r="G155" s="32"/>
      <c r="H155" s="38"/>
      <c r="I155" s="66" t="s">
        <v>13</v>
      </c>
      <c r="J155" s="35"/>
      <c r="K155" s="36"/>
      <c r="L155" s="36"/>
      <c r="M155" s="36">
        <f t="shared" si="6"/>
        <v>0</v>
      </c>
      <c r="N155" s="37" t="e">
        <f t="shared" si="7"/>
        <v>#DIV/0!</v>
      </c>
    </row>
    <row r="156">
      <c r="C156" s="40" t="s">
        <v>145</v>
      </c>
      <c r="D156" s="29"/>
      <c r="E156" s="30"/>
      <c r="F156" s="31"/>
      <c r="G156" s="32"/>
      <c r="H156" s="38"/>
      <c r="I156" s="68" t="s">
        <v>13</v>
      </c>
      <c r="J156" s="69"/>
      <c r="K156" s="70"/>
      <c r="L156" s="70"/>
      <c r="M156" s="36">
        <f t="shared" si="6"/>
        <v>0</v>
      </c>
      <c r="N156" s="37" t="e">
        <f t="shared" si="7"/>
        <v>#DIV/0!</v>
      </c>
    </row>
    <row r="157">
      <c r="C157" s="40" t="s">
        <v>146</v>
      </c>
      <c r="D157" s="29"/>
      <c r="E157" s="30"/>
      <c r="F157" s="31"/>
      <c r="G157" s="32"/>
      <c r="H157" s="38"/>
      <c r="I157" s="68" t="s">
        <v>13</v>
      </c>
      <c r="J157" s="69"/>
      <c r="K157" s="70"/>
      <c r="L157" s="70"/>
      <c r="M157" s="36"/>
      <c r="N157" s="37"/>
    </row>
    <row r="158">
      <c r="C158" s="40" t="s">
        <v>147</v>
      </c>
      <c r="D158" s="29"/>
      <c r="E158" s="30"/>
      <c r="F158" s="31"/>
      <c r="G158" s="32"/>
      <c r="H158" s="38"/>
      <c r="I158" s="68"/>
      <c r="J158" s="69"/>
      <c r="K158" s="70"/>
      <c r="L158" s="70"/>
      <c r="M158" s="36"/>
      <c r="N158" s="37"/>
    </row>
    <row r="159">
      <c r="C159" s="40" t="s">
        <v>148</v>
      </c>
      <c r="D159" s="29"/>
      <c r="E159" s="30"/>
      <c r="F159" s="31"/>
      <c r="G159" s="32"/>
      <c r="H159" s="38"/>
      <c r="I159" s="68" t="s">
        <v>13</v>
      </c>
      <c r="J159" s="69"/>
      <c r="K159" s="70"/>
      <c r="L159" s="70"/>
      <c r="M159" s="36"/>
      <c r="N159" s="37"/>
    </row>
    <row r="160">
      <c r="C160" s="40" t="s">
        <v>149</v>
      </c>
      <c r="D160" s="29"/>
      <c r="E160" s="30"/>
      <c r="F160" s="31"/>
      <c r="G160" s="32"/>
      <c r="H160" s="38"/>
      <c r="I160" s="68" t="s">
        <v>13</v>
      </c>
      <c r="J160" s="69"/>
      <c r="K160" s="70"/>
      <c r="L160" s="70"/>
      <c r="M160" s="36"/>
      <c r="N160" s="37"/>
    </row>
    <row r="161">
      <c r="C161" s="40" t="s">
        <v>150</v>
      </c>
      <c r="D161" s="29"/>
      <c r="E161" s="30"/>
      <c r="F161" s="31"/>
      <c r="G161" s="32"/>
      <c r="H161" s="38"/>
      <c r="I161" s="68" t="s">
        <v>13</v>
      </c>
      <c r="J161" s="69"/>
      <c r="K161" s="70"/>
      <c r="L161" s="70"/>
      <c r="M161" s="36"/>
      <c r="N161" s="37"/>
    </row>
    <row r="162">
      <c r="C162" s="40" t="s">
        <v>151</v>
      </c>
      <c r="D162" s="29"/>
      <c r="E162" s="30"/>
      <c r="F162" s="31"/>
      <c r="G162" s="32"/>
      <c r="H162" s="38"/>
      <c r="I162" s="68" t="s">
        <v>13</v>
      </c>
      <c r="J162" s="69"/>
      <c r="K162" s="70"/>
      <c r="L162" s="70"/>
      <c r="M162" s="36"/>
      <c r="N162" s="37"/>
    </row>
    <row r="163">
      <c r="C163" s="40" t="s">
        <v>152</v>
      </c>
      <c r="D163" s="29"/>
      <c r="E163" s="30"/>
      <c r="F163" s="31"/>
      <c r="G163" s="32"/>
      <c r="H163" s="38"/>
      <c r="I163" s="68" t="s">
        <v>13</v>
      </c>
      <c r="J163" s="69"/>
      <c r="K163" s="70"/>
      <c r="L163" s="70"/>
      <c r="M163" s="36"/>
      <c r="N163" s="37"/>
    </row>
    <row r="164">
      <c r="C164" s="40" t="s">
        <v>153</v>
      </c>
      <c r="D164" s="29"/>
      <c r="E164" s="30"/>
      <c r="F164" s="31"/>
      <c r="G164" s="32"/>
      <c r="H164" s="38"/>
      <c r="I164" s="68" t="s">
        <v>13</v>
      </c>
      <c r="J164" s="69"/>
      <c r="K164" s="70"/>
      <c r="L164" s="70"/>
      <c r="M164" s="36"/>
      <c r="N164" s="37"/>
    </row>
    <row r="165">
      <c r="C165" s="40" t="s">
        <v>154</v>
      </c>
      <c r="D165" s="29"/>
      <c r="E165" s="30"/>
      <c r="F165" s="31"/>
      <c r="G165" s="32"/>
      <c r="H165" s="38"/>
      <c r="I165" s="68" t="s">
        <v>71</v>
      </c>
      <c r="J165" s="69"/>
      <c r="K165" s="70"/>
      <c r="L165" s="70"/>
      <c r="M165" s="36"/>
      <c r="N165" s="37"/>
    </row>
    <row r="166">
      <c r="C166" s="40" t="s">
        <v>155</v>
      </c>
      <c r="D166" s="29"/>
      <c r="E166" s="30"/>
      <c r="F166" s="31"/>
      <c r="G166" s="32"/>
      <c r="H166" s="38"/>
      <c r="I166" s="68" t="s">
        <v>11</v>
      </c>
      <c r="J166" s="69"/>
      <c r="K166" s="70"/>
      <c r="L166" s="70"/>
      <c r="M166" s="36"/>
      <c r="N166" s="37"/>
    </row>
    <row r="167">
      <c r="C167" s="40" t="s">
        <v>156</v>
      </c>
      <c r="D167" s="29"/>
      <c r="E167" s="30"/>
      <c r="F167" s="31"/>
      <c r="G167" s="32"/>
      <c r="H167" s="38"/>
      <c r="I167" s="68" t="s">
        <v>13</v>
      </c>
      <c r="J167" s="69"/>
      <c r="K167" s="70"/>
      <c r="L167" s="70"/>
      <c r="M167" s="36"/>
      <c r="N167" s="37"/>
    </row>
    <row r="168">
      <c r="C168" s="40" t="s">
        <v>157</v>
      </c>
      <c r="D168" s="29"/>
      <c r="E168" s="30"/>
      <c r="F168" s="31"/>
      <c r="G168" s="32"/>
      <c r="H168" s="38"/>
      <c r="I168" s="68" t="s">
        <v>13</v>
      </c>
      <c r="J168" s="69"/>
      <c r="K168" s="70"/>
      <c r="L168" s="70"/>
      <c r="M168" s="36"/>
      <c r="N168" s="37"/>
    </row>
    <row r="169">
      <c r="C169" s="40" t="s">
        <v>158</v>
      </c>
      <c r="D169" s="29"/>
      <c r="E169" s="30"/>
      <c r="F169" s="31"/>
      <c r="G169" s="32"/>
      <c r="H169" s="38"/>
      <c r="I169" s="68" t="s">
        <v>13</v>
      </c>
      <c r="J169" s="69"/>
      <c r="K169" s="70"/>
      <c r="L169" s="70"/>
      <c r="M169" s="36"/>
      <c r="N169" s="37"/>
    </row>
    <row r="170">
      <c r="C170" s="40" t="s">
        <v>159</v>
      </c>
      <c r="D170" s="29"/>
      <c r="E170" s="30"/>
      <c r="F170" s="31"/>
      <c r="G170" s="32"/>
      <c r="H170" s="38"/>
      <c r="I170" s="68" t="s">
        <v>13</v>
      </c>
      <c r="J170" s="69"/>
      <c r="K170" s="70"/>
      <c r="L170" s="70"/>
      <c r="M170" s="36"/>
      <c r="N170" s="37"/>
    </row>
    <row r="171">
      <c r="C171" s="40" t="s">
        <v>160</v>
      </c>
      <c r="D171" s="29"/>
      <c r="E171" s="30"/>
      <c r="F171" s="31"/>
      <c r="G171" s="32"/>
      <c r="H171" s="38"/>
      <c r="I171" s="68" t="s">
        <v>11</v>
      </c>
      <c r="J171" s="69"/>
      <c r="K171" s="70"/>
      <c r="L171" s="70"/>
      <c r="M171" s="36"/>
      <c r="N171" s="37"/>
    </row>
    <row r="172">
      <c r="C172" s="40" t="s">
        <v>141</v>
      </c>
      <c r="D172" s="29"/>
      <c r="E172" s="30"/>
      <c r="F172" s="31"/>
      <c r="G172" s="32"/>
      <c r="H172" s="38"/>
      <c r="I172" s="68" t="s">
        <v>13</v>
      </c>
      <c r="J172" s="69"/>
      <c r="K172" s="70"/>
      <c r="L172" s="70"/>
      <c r="M172" s="36"/>
      <c r="N172" s="37"/>
    </row>
    <row r="173">
      <c r="C173" s="40" t="s">
        <v>161</v>
      </c>
      <c r="D173" s="29"/>
      <c r="E173" s="30"/>
      <c r="F173" s="31"/>
      <c r="G173" s="32"/>
      <c r="H173" s="38"/>
      <c r="I173" s="68" t="s">
        <v>11</v>
      </c>
      <c r="J173" s="69"/>
      <c r="K173" s="70"/>
      <c r="L173" s="70"/>
      <c r="M173" s="36"/>
      <c r="N173" s="37"/>
    </row>
    <row r="174">
      <c r="C174" s="40" t="s">
        <v>162</v>
      </c>
      <c r="D174" s="29"/>
      <c r="E174" s="30"/>
      <c r="F174" s="31"/>
      <c r="G174" s="32"/>
      <c r="H174" s="38"/>
      <c r="I174" s="68" t="s">
        <v>13</v>
      </c>
      <c r="J174" s="69"/>
      <c r="K174" s="70"/>
      <c r="L174" s="70"/>
      <c r="M174" s="36"/>
      <c r="N174" s="37"/>
    </row>
    <row r="175">
      <c r="C175" s="40" t="s">
        <v>163</v>
      </c>
      <c r="D175" s="29"/>
      <c r="E175" s="30"/>
      <c r="F175" s="31"/>
      <c r="G175" s="32"/>
      <c r="H175" s="38"/>
      <c r="I175" s="68" t="s">
        <v>13</v>
      </c>
      <c r="J175" s="69"/>
      <c r="K175" s="70"/>
      <c r="L175" s="70"/>
      <c r="M175" s="36"/>
      <c r="N175" s="37"/>
    </row>
    <row r="176">
      <c r="C176" s="40" t="s">
        <v>164</v>
      </c>
      <c r="D176" s="29"/>
      <c r="E176" s="30"/>
      <c r="F176" s="31"/>
      <c r="G176" s="32"/>
      <c r="H176" s="38"/>
      <c r="I176" s="68" t="s">
        <v>13</v>
      </c>
      <c r="J176" s="69"/>
      <c r="K176" s="70"/>
      <c r="L176" s="70"/>
      <c r="M176" s="36"/>
      <c r="N176" s="37"/>
    </row>
    <row r="177">
      <c r="C177" s="40" t="s">
        <v>165</v>
      </c>
      <c r="D177" s="29"/>
      <c r="E177" s="30"/>
      <c r="F177" s="31"/>
      <c r="G177" s="32"/>
      <c r="H177" s="38"/>
      <c r="I177" s="68" t="s">
        <v>13</v>
      </c>
      <c r="J177" s="69"/>
      <c r="K177" s="70"/>
      <c r="L177" s="70"/>
      <c r="M177" s="36"/>
      <c r="N177" s="37"/>
    </row>
    <row r="178">
      <c r="C178" s="40" t="s">
        <v>166</v>
      </c>
      <c r="D178" s="29"/>
      <c r="E178" s="30"/>
      <c r="F178" s="31"/>
      <c r="G178" s="32"/>
      <c r="H178" s="38"/>
      <c r="I178" s="68" t="s">
        <v>11</v>
      </c>
      <c r="J178" s="69"/>
      <c r="K178" s="70"/>
      <c r="L178" s="70"/>
      <c r="M178" s="36"/>
      <c r="N178" s="37"/>
    </row>
    <row r="179">
      <c r="C179" s="40" t="s">
        <v>167</v>
      </c>
      <c r="D179" s="29"/>
      <c r="E179" s="30"/>
      <c r="F179" s="31"/>
      <c r="G179" s="32"/>
      <c r="H179" s="38"/>
      <c r="I179" s="68" t="s">
        <v>13</v>
      </c>
      <c r="J179" s="69"/>
      <c r="K179" s="70"/>
      <c r="L179" s="70"/>
      <c r="M179" s="36"/>
      <c r="N179" s="37"/>
    </row>
    <row r="180">
      <c r="C180" s="40" t="s">
        <v>168</v>
      </c>
      <c r="D180" s="29"/>
      <c r="E180" s="30"/>
      <c r="F180" s="31"/>
      <c r="G180" s="32"/>
      <c r="H180" s="38"/>
      <c r="I180" s="68" t="s">
        <v>13</v>
      </c>
      <c r="J180" s="69"/>
      <c r="K180" s="70"/>
      <c r="L180" s="70"/>
      <c r="M180" s="36"/>
      <c r="N180" s="37"/>
    </row>
    <row r="181">
      <c r="C181" s="40" t="s">
        <v>169</v>
      </c>
      <c r="D181" s="29"/>
      <c r="E181" s="30"/>
      <c r="F181" s="31"/>
      <c r="G181" s="32"/>
      <c r="H181" s="38"/>
      <c r="I181" s="68" t="s">
        <v>13</v>
      </c>
      <c r="J181" s="69"/>
      <c r="K181" s="70"/>
      <c r="L181" s="70"/>
      <c r="M181" s="36"/>
      <c r="N181" s="37"/>
    </row>
    <row r="182">
      <c r="C182" s="40" t="s">
        <v>170</v>
      </c>
      <c r="D182" s="29"/>
      <c r="E182" s="30"/>
      <c r="F182" s="31"/>
      <c r="G182" s="32"/>
      <c r="H182" s="38"/>
      <c r="I182" s="68" t="s">
        <v>13</v>
      </c>
      <c r="J182" s="69"/>
      <c r="K182" s="70"/>
      <c r="L182" s="70"/>
      <c r="M182" s="36"/>
      <c r="N182" s="37"/>
    </row>
    <row r="183">
      <c r="C183" s="40" t="s">
        <v>171</v>
      </c>
      <c r="D183" s="29"/>
      <c r="E183" s="30"/>
      <c r="F183" s="31"/>
      <c r="G183" s="32"/>
      <c r="H183" s="38"/>
      <c r="I183" s="68" t="s">
        <v>13</v>
      </c>
      <c r="J183" s="69"/>
      <c r="K183" s="70"/>
      <c r="L183" s="70"/>
      <c r="M183" s="36"/>
      <c r="N183" s="37"/>
    </row>
    <row r="184">
      <c r="C184" s="40" t="s">
        <v>172</v>
      </c>
      <c r="D184" s="29"/>
      <c r="E184" s="30"/>
      <c r="F184" s="31"/>
      <c r="G184" s="32"/>
      <c r="H184" s="38"/>
      <c r="I184" s="68" t="s">
        <v>13</v>
      </c>
      <c r="J184" s="69"/>
      <c r="K184" s="70"/>
      <c r="L184" s="70"/>
      <c r="M184" s="36"/>
      <c r="N184" s="37"/>
    </row>
    <row r="185">
      <c r="C185" s="40" t="s">
        <v>173</v>
      </c>
      <c r="D185" s="29"/>
      <c r="E185" s="30"/>
      <c r="F185" s="31"/>
      <c r="G185" s="32"/>
      <c r="H185" s="38"/>
      <c r="I185" s="68" t="s">
        <v>13</v>
      </c>
      <c r="J185" s="69"/>
      <c r="K185" s="70"/>
      <c r="L185" s="70"/>
      <c r="M185" s="36"/>
      <c r="N185" s="37"/>
    </row>
    <row r="186">
      <c r="C186" s="40" t="s">
        <v>174</v>
      </c>
      <c r="D186" s="29"/>
      <c r="E186" s="30"/>
      <c r="F186" s="31"/>
      <c r="G186" s="32"/>
      <c r="H186" s="38"/>
      <c r="I186" s="68" t="s">
        <v>13</v>
      </c>
      <c r="J186" s="69"/>
      <c r="K186" s="70"/>
      <c r="L186" s="70"/>
      <c r="M186" s="36"/>
      <c r="N186" s="37"/>
    </row>
    <row r="187">
      <c r="C187" s="40" t="s">
        <v>175</v>
      </c>
      <c r="D187" s="29"/>
      <c r="E187" s="30"/>
      <c r="F187" s="31"/>
      <c r="G187" s="32"/>
      <c r="H187" s="38"/>
      <c r="I187" s="68" t="s">
        <v>13</v>
      </c>
      <c r="J187" s="69"/>
      <c r="K187" s="70"/>
      <c r="L187" s="70"/>
      <c r="M187" s="36"/>
      <c r="N187" s="37"/>
    </row>
    <row r="188">
      <c r="C188" s="40" t="s">
        <v>176</v>
      </c>
      <c r="D188" s="29"/>
      <c r="E188" s="30"/>
      <c r="F188" s="31"/>
      <c r="G188" s="32"/>
      <c r="H188" s="38"/>
      <c r="I188" s="68" t="s">
        <v>13</v>
      </c>
      <c r="J188" s="69"/>
      <c r="K188" s="70"/>
      <c r="L188" s="70"/>
      <c r="M188" s="36"/>
      <c r="N188" s="37"/>
    </row>
    <row r="189">
      <c r="C189" s="40" t="s">
        <v>177</v>
      </c>
      <c r="D189" s="29"/>
      <c r="E189" s="30"/>
      <c r="F189" s="31"/>
      <c r="G189" s="32"/>
      <c r="H189" s="38"/>
      <c r="I189" s="68" t="s">
        <v>13</v>
      </c>
      <c r="J189" s="69"/>
      <c r="K189" s="70"/>
      <c r="L189" s="70"/>
      <c r="M189" s="36"/>
      <c r="N189" s="37"/>
    </row>
    <row r="190">
      <c r="C190" s="40"/>
      <c r="D190" s="29"/>
      <c r="E190" s="30"/>
      <c r="F190" s="31"/>
      <c r="G190" s="32"/>
      <c r="H190" s="38"/>
      <c r="I190" s="68"/>
      <c r="J190" s="69"/>
      <c r="K190" s="70"/>
      <c r="L190" s="70"/>
      <c r="M190" s="36"/>
      <c r="N190" s="37"/>
    </row>
    <row r="191">
      <c r="C191" s="40"/>
      <c r="D191" s="29"/>
      <c r="E191" s="30"/>
      <c r="F191" s="31"/>
      <c r="G191" s="32"/>
      <c r="H191" s="38"/>
      <c r="I191" s="68"/>
      <c r="J191" s="69"/>
      <c r="K191" s="70"/>
      <c r="L191" s="70"/>
      <c r="M191" s="36"/>
      <c r="N191" s="37"/>
    </row>
    <row r="192" ht="14">
      <c r="C192" s="40" t="s">
        <v>178</v>
      </c>
      <c r="D192" s="29"/>
      <c r="E192" s="71"/>
      <c r="F192" s="72"/>
      <c r="G192" s="73"/>
      <c r="H192" s="54"/>
      <c r="I192" s="74" t="s">
        <v>179</v>
      </c>
      <c r="J192" s="69"/>
      <c r="K192" s="70"/>
      <c r="L192" s="70"/>
      <c r="M192" s="36">
        <f t="shared" ref="M187:M211" si="8">MIN(J192:L192)</f>
        <v>0</v>
      </c>
      <c r="N192" s="37" t="e">
        <f t="shared" ref="N187:N211" si="9">SUM(M192/E192)</f>
        <v>#DIV/0!</v>
      </c>
    </row>
    <row r="193">
      <c r="C193" s="55"/>
      <c r="D193" s="75"/>
      <c r="E193" s="57"/>
      <c r="F193" s="57"/>
      <c r="G193" s="76"/>
      <c r="H193" s="77"/>
      <c r="I193" s="78"/>
      <c r="J193" s="69"/>
      <c r="K193" s="70"/>
      <c r="L193" s="70"/>
      <c r="M193" s="36"/>
      <c r="N193" s="37"/>
    </row>
    <row r="194" s="2" customFormat="1" ht="16.5" customHeight="1">
      <c r="C194" s="79" t="s">
        <v>180</v>
      </c>
      <c r="D194" s="79"/>
      <c r="E194" s="62"/>
      <c r="F194" s="62"/>
      <c r="G194" s="62"/>
      <c r="H194" s="63"/>
      <c r="I194" s="64" t="s">
        <v>4</v>
      </c>
      <c r="J194" s="47"/>
      <c r="K194" s="48"/>
      <c r="L194" s="48"/>
      <c r="M194" s="36">
        <f t="shared" si="8"/>
        <v>0</v>
      </c>
      <c r="N194" s="37" t="e">
        <f t="shared" si="9"/>
        <v>#DIV/0!</v>
      </c>
    </row>
    <row r="195" s="2" customFormat="1" ht="16.5" customHeight="1">
      <c r="C195" s="79"/>
      <c r="D195" s="79"/>
      <c r="E195" s="49" t="s">
        <v>6</v>
      </c>
      <c r="F195" s="50"/>
      <c r="G195" s="51" t="s">
        <v>7</v>
      </c>
      <c r="H195" s="52" t="s">
        <v>8</v>
      </c>
      <c r="I195" s="64"/>
      <c r="J195" s="47"/>
      <c r="K195" s="48"/>
      <c r="L195" s="48"/>
      <c r="M195" s="36">
        <f t="shared" si="8"/>
        <v>0</v>
      </c>
      <c r="N195" s="37" t="e">
        <f t="shared" si="9"/>
        <v>#VALUE!</v>
      </c>
    </row>
    <row r="196">
      <c r="C196" s="28" t="s">
        <v>181</v>
      </c>
      <c r="D196" s="29"/>
      <c r="E196" s="30"/>
      <c r="F196" s="31"/>
      <c r="G196" s="32"/>
      <c r="H196" s="38"/>
      <c r="I196" s="80" t="s">
        <v>13</v>
      </c>
      <c r="J196" s="69"/>
      <c r="K196" s="70"/>
      <c r="L196" s="70"/>
      <c r="M196" s="36">
        <f t="shared" si="8"/>
        <v>0</v>
      </c>
      <c r="N196" s="37" t="e">
        <f t="shared" si="9"/>
        <v>#DIV/0!</v>
      </c>
    </row>
    <row r="197">
      <c r="C197" s="28" t="s">
        <v>182</v>
      </c>
      <c r="D197" s="29"/>
      <c r="E197" s="30"/>
      <c r="F197" s="31"/>
      <c r="G197" s="32"/>
      <c r="H197" s="38"/>
      <c r="I197" s="80" t="s">
        <v>13</v>
      </c>
      <c r="J197" s="69"/>
      <c r="K197" s="70"/>
      <c r="L197" s="70"/>
      <c r="M197" s="36">
        <f t="shared" si="8"/>
        <v>0</v>
      </c>
      <c r="N197" s="37" t="e">
        <f t="shared" si="9"/>
        <v>#DIV/0!</v>
      </c>
    </row>
    <row r="198">
      <c r="C198" s="28" t="s">
        <v>183</v>
      </c>
      <c r="D198" s="29"/>
      <c r="E198" s="30"/>
      <c r="F198" s="31"/>
      <c r="G198" s="32"/>
      <c r="H198" s="38"/>
      <c r="I198" s="80" t="s">
        <v>13</v>
      </c>
      <c r="J198" s="69"/>
      <c r="K198" s="70"/>
      <c r="L198" s="70"/>
      <c r="M198" s="36">
        <f t="shared" si="8"/>
        <v>0</v>
      </c>
      <c r="N198" s="37" t="e">
        <f t="shared" si="9"/>
        <v>#DIV/0!</v>
      </c>
    </row>
    <row r="199">
      <c r="C199" s="28" t="s">
        <v>184</v>
      </c>
      <c r="D199" s="29"/>
      <c r="E199" s="30"/>
      <c r="F199" s="31"/>
      <c r="G199" s="32"/>
      <c r="H199" s="38"/>
      <c r="I199" s="80" t="s">
        <v>13</v>
      </c>
      <c r="J199" s="69"/>
      <c r="K199" s="70"/>
      <c r="L199" s="70"/>
      <c r="M199" s="36">
        <f t="shared" si="8"/>
        <v>0</v>
      </c>
      <c r="N199" s="37" t="e">
        <f t="shared" si="9"/>
        <v>#DIV/0!</v>
      </c>
    </row>
    <row r="200">
      <c r="C200" s="28" t="s">
        <v>185</v>
      </c>
      <c r="D200" s="29"/>
      <c r="E200" s="30"/>
      <c r="F200" s="31"/>
      <c r="G200" s="32"/>
      <c r="H200" s="38"/>
      <c r="I200" s="80" t="s">
        <v>13</v>
      </c>
      <c r="J200" s="69"/>
      <c r="K200" s="70"/>
      <c r="L200" s="70"/>
      <c r="M200" s="36">
        <f t="shared" si="8"/>
        <v>0</v>
      </c>
      <c r="N200" s="37" t="e">
        <f t="shared" si="9"/>
        <v>#DIV/0!</v>
      </c>
    </row>
    <row r="201">
      <c r="C201" s="28" t="s">
        <v>186</v>
      </c>
      <c r="D201" s="29"/>
      <c r="E201" s="30"/>
      <c r="F201" s="31"/>
      <c r="G201" s="32"/>
      <c r="H201" s="38"/>
      <c r="I201" s="80"/>
      <c r="J201" s="69"/>
      <c r="K201" s="70"/>
      <c r="L201" s="70"/>
      <c r="M201" s="36">
        <f t="shared" si="8"/>
        <v>0</v>
      </c>
      <c r="N201" s="37" t="e">
        <f t="shared" si="9"/>
        <v>#DIV/0!</v>
      </c>
    </row>
    <row r="202">
      <c r="C202" s="28" t="s">
        <v>187</v>
      </c>
      <c r="D202" s="29"/>
      <c r="E202" s="30"/>
      <c r="F202" s="31"/>
      <c r="G202" s="32"/>
      <c r="H202" s="38"/>
      <c r="I202" s="80"/>
      <c r="J202" s="69"/>
      <c r="K202" s="70"/>
      <c r="L202" s="70"/>
      <c r="M202" s="36">
        <f t="shared" si="8"/>
        <v>0</v>
      </c>
      <c r="N202" s="37" t="e">
        <f t="shared" si="9"/>
        <v>#DIV/0!</v>
      </c>
    </row>
    <row r="203">
      <c r="C203" s="28" t="s">
        <v>188</v>
      </c>
      <c r="D203" s="29"/>
      <c r="E203" s="30"/>
      <c r="F203" s="31"/>
      <c r="G203" s="32"/>
      <c r="H203" s="38"/>
      <c r="I203" s="80" t="s">
        <v>13</v>
      </c>
      <c r="J203" s="69"/>
      <c r="K203" s="70"/>
      <c r="L203" s="70"/>
      <c r="M203" s="36">
        <f t="shared" si="8"/>
        <v>0</v>
      </c>
      <c r="N203" s="37" t="e">
        <f t="shared" si="9"/>
        <v>#DIV/0!</v>
      </c>
    </row>
    <row r="204">
      <c r="C204" s="28" t="s">
        <v>189</v>
      </c>
      <c r="D204" s="29"/>
      <c r="E204" s="30"/>
      <c r="F204" s="31"/>
      <c r="G204" s="32"/>
      <c r="H204" s="38"/>
      <c r="I204" s="80" t="s">
        <v>13</v>
      </c>
      <c r="J204" s="69"/>
      <c r="K204" s="70"/>
      <c r="L204" s="70"/>
      <c r="M204" s="36">
        <f t="shared" si="8"/>
        <v>0</v>
      </c>
      <c r="N204" s="37" t="e">
        <f t="shared" si="9"/>
        <v>#DIV/0!</v>
      </c>
    </row>
    <row r="205">
      <c r="C205" s="28" t="s">
        <v>190</v>
      </c>
      <c r="D205" s="29"/>
      <c r="E205" s="30"/>
      <c r="F205" s="31"/>
      <c r="G205" s="32"/>
      <c r="H205" s="38"/>
      <c r="I205" s="80" t="s">
        <v>13</v>
      </c>
      <c r="J205" s="69"/>
      <c r="K205" s="70"/>
      <c r="L205" s="70"/>
      <c r="M205" s="36">
        <f t="shared" si="8"/>
        <v>0</v>
      </c>
      <c r="N205" s="37" t="e">
        <f t="shared" si="9"/>
        <v>#DIV/0!</v>
      </c>
    </row>
    <row r="206">
      <c r="C206" s="28" t="s">
        <v>191</v>
      </c>
      <c r="D206" s="29"/>
      <c r="E206" s="30"/>
      <c r="F206" s="31"/>
      <c r="G206" s="32"/>
      <c r="H206" s="38"/>
      <c r="I206" s="80" t="s">
        <v>13</v>
      </c>
      <c r="J206" s="69"/>
      <c r="K206" s="70"/>
      <c r="L206" s="70"/>
      <c r="M206" s="36">
        <f t="shared" si="8"/>
        <v>0</v>
      </c>
      <c r="N206" s="37" t="e">
        <f t="shared" si="9"/>
        <v>#DIV/0!</v>
      </c>
    </row>
    <row r="207">
      <c r="C207" s="28" t="s">
        <v>192</v>
      </c>
      <c r="D207" s="29"/>
      <c r="E207" s="30"/>
      <c r="F207" s="31"/>
      <c r="G207" s="32"/>
      <c r="H207" s="38"/>
      <c r="I207" s="80"/>
      <c r="J207" s="69"/>
      <c r="K207" s="70"/>
      <c r="L207" s="70"/>
      <c r="M207" s="36">
        <f t="shared" si="8"/>
        <v>0</v>
      </c>
      <c r="N207" s="37" t="e">
        <f t="shared" si="9"/>
        <v>#DIV/0!</v>
      </c>
    </row>
    <row r="208">
      <c r="C208" s="40" t="s">
        <v>193</v>
      </c>
      <c r="D208" s="29"/>
      <c r="E208" s="30"/>
      <c r="F208" s="31"/>
      <c r="G208" s="32"/>
      <c r="H208" s="38"/>
      <c r="I208" s="80" t="s">
        <v>13</v>
      </c>
      <c r="J208" s="69"/>
      <c r="K208" s="70"/>
      <c r="L208" s="70"/>
      <c r="M208" s="36">
        <f t="shared" si="8"/>
        <v>0</v>
      </c>
      <c r="N208" s="37" t="e">
        <f t="shared" si="9"/>
        <v>#DIV/0!</v>
      </c>
    </row>
    <row r="209">
      <c r="C209" s="40" t="s">
        <v>194</v>
      </c>
      <c r="D209" s="29"/>
      <c r="E209" s="30"/>
      <c r="F209" s="31"/>
      <c r="G209" s="32"/>
      <c r="H209" s="38"/>
      <c r="I209" s="80" t="s">
        <v>13</v>
      </c>
      <c r="J209" s="69"/>
      <c r="K209" s="70"/>
      <c r="L209" s="70"/>
      <c r="M209" s="36">
        <f t="shared" si="8"/>
        <v>0</v>
      </c>
      <c r="N209" s="37" t="e">
        <f t="shared" si="9"/>
        <v>#DIV/0!</v>
      </c>
    </row>
    <row r="210">
      <c r="C210" s="40" t="s">
        <v>195</v>
      </c>
      <c r="D210" s="31"/>
      <c r="E210" s="30"/>
      <c r="F210" s="31"/>
      <c r="G210" s="32"/>
      <c r="H210" s="38"/>
      <c r="I210" s="81" t="s">
        <v>13</v>
      </c>
      <c r="J210" s="69"/>
      <c r="K210" s="70"/>
      <c r="L210" s="70"/>
      <c r="M210" s="36">
        <f t="shared" si="8"/>
        <v>0</v>
      </c>
      <c r="N210" s="37" t="e">
        <f t="shared" si="9"/>
        <v>#DIV/0!</v>
      </c>
    </row>
    <row r="211" ht="14">
      <c r="C211" s="82" t="s">
        <v>196</v>
      </c>
      <c r="D211" s="83"/>
      <c r="E211" s="56"/>
      <c r="F211" s="72"/>
      <c r="G211" s="73"/>
      <c r="H211" s="54"/>
      <c r="I211" s="84" t="s">
        <v>13</v>
      </c>
      <c r="J211" s="69"/>
      <c r="K211" s="70"/>
      <c r="L211" s="70"/>
      <c r="M211" s="36">
        <f t="shared" si="8"/>
        <v>0</v>
      </c>
      <c r="N211" s="37" t="e">
        <f t="shared" si="9"/>
        <v>#DIV/0!</v>
      </c>
    </row>
    <row r="212">
      <c r="C212" s="85"/>
      <c r="D212" s="85"/>
      <c r="E212" s="47"/>
      <c r="F212" s="86"/>
      <c r="G212" s="87"/>
      <c r="H212" s="42"/>
      <c r="I212" s="88"/>
    </row>
    <row r="213" ht="13.5" customHeight="1">
      <c r="C213" s="85" t="s">
        <v>197</v>
      </c>
      <c r="D213" s="85"/>
      <c r="E213" s="35"/>
      <c r="F213" s="36"/>
      <c r="G213" s="87"/>
      <c r="H213" s="42"/>
      <c r="I213" s="88" t="s">
        <v>13</v>
      </c>
    </row>
    <row r="214" ht="13.5" customHeight="1">
      <c r="A214" s="2"/>
      <c r="C214" s="85" t="s">
        <v>198</v>
      </c>
      <c r="D214" s="85"/>
      <c r="E214" s="89"/>
      <c r="F214" s="90"/>
      <c r="G214" s="91"/>
      <c r="H214" s="92"/>
      <c r="I214" s="88" t="s">
        <v>13</v>
      </c>
    </row>
    <row r="215">
      <c r="C215" s="85"/>
      <c r="D215" s="85"/>
      <c r="E215" s="93"/>
      <c r="F215" s="94"/>
      <c r="G215" s="95"/>
      <c r="H215" s="96"/>
      <c r="I215" s="88"/>
    </row>
    <row r="216" ht="13.5" customHeight="1">
      <c r="C216" s="85" t="s">
        <v>199</v>
      </c>
      <c r="D216" s="85"/>
      <c r="E216" s="93"/>
      <c r="F216" s="94"/>
      <c r="G216" s="95"/>
      <c r="H216" s="96"/>
      <c r="I216" s="88" t="s">
        <v>13</v>
      </c>
    </row>
    <row r="217" ht="13.5" customHeight="1">
      <c r="C217" s="85" t="s">
        <v>200</v>
      </c>
      <c r="D217" s="85"/>
      <c r="E217" s="93"/>
      <c r="F217" s="94"/>
      <c r="G217" s="95"/>
      <c r="H217" s="96"/>
      <c r="I217" s="88" t="s">
        <v>201</v>
      </c>
    </row>
    <row r="218" ht="13.5" customHeight="1">
      <c r="C218" s="85" t="s">
        <v>202</v>
      </c>
      <c r="D218" s="85"/>
      <c r="E218" s="93"/>
      <c r="F218" s="94"/>
      <c r="G218" s="95"/>
      <c r="H218" s="96"/>
      <c r="I218" s="88" t="s">
        <v>11</v>
      </c>
    </row>
    <row r="219" ht="13.5" customHeight="1">
      <c r="C219" s="85" t="s">
        <v>203</v>
      </c>
      <c r="D219" s="85"/>
      <c r="E219" s="93"/>
      <c r="F219" s="94"/>
      <c r="G219" s="95"/>
      <c r="H219" s="96"/>
      <c r="I219" s="88" t="s">
        <v>13</v>
      </c>
    </row>
    <row r="220" ht="13.5" customHeight="1">
      <c r="C220" s="85" t="s">
        <v>204</v>
      </c>
      <c r="D220" s="85"/>
      <c r="E220" s="93"/>
      <c r="F220" s="94"/>
      <c r="G220" s="95"/>
      <c r="H220" s="96"/>
      <c r="I220" s="88" t="s">
        <v>13</v>
      </c>
    </row>
    <row r="221" ht="12.75" customHeight="1">
      <c r="C221" s="85" t="s">
        <v>205</v>
      </c>
      <c r="D221" s="85"/>
      <c r="E221" s="93"/>
      <c r="F221" s="94"/>
      <c r="G221" s="95"/>
      <c r="H221" s="96"/>
      <c r="I221" s="88"/>
    </row>
    <row r="222" ht="13.5" customHeight="1">
      <c r="C222" s="85" t="s">
        <v>206</v>
      </c>
      <c r="D222" s="85"/>
      <c r="E222" s="93"/>
      <c r="F222" s="94"/>
      <c r="G222" s="95"/>
      <c r="H222" s="96"/>
      <c r="I222" s="88" t="s">
        <v>13</v>
      </c>
    </row>
    <row r="223">
      <c r="C223" s="97" t="s">
        <v>207</v>
      </c>
      <c r="D223" s="97"/>
      <c r="E223" s="98"/>
      <c r="F223" s="90"/>
      <c r="G223" s="91"/>
      <c r="H223" s="92"/>
      <c r="I223" s="88"/>
    </row>
    <row r="224">
      <c r="C224" s="97" t="s">
        <v>208</v>
      </c>
      <c r="D224" s="97"/>
      <c r="E224" s="98"/>
      <c r="F224" s="86"/>
      <c r="G224" s="87"/>
      <c r="H224" s="99"/>
      <c r="I224" s="88"/>
    </row>
    <row r="225" ht="14">
      <c r="C225" s="97" t="s">
        <v>209</v>
      </c>
      <c r="D225" s="97"/>
      <c r="E225" s="98"/>
      <c r="F225" s="86"/>
      <c r="G225" s="87"/>
      <c r="H225" s="99"/>
      <c r="I225" s="88" t="s">
        <v>11</v>
      </c>
    </row>
    <row r="226" ht="14">
      <c r="C226" s="97" t="s">
        <v>210</v>
      </c>
      <c r="D226" s="97"/>
      <c r="E226" s="98"/>
      <c r="F226" s="86"/>
      <c r="G226" s="87"/>
      <c r="H226" s="99"/>
      <c r="I226" s="88" t="s">
        <v>11</v>
      </c>
    </row>
    <row r="227" ht="14">
      <c r="C227" s="97" t="s">
        <v>211</v>
      </c>
      <c r="D227" s="97"/>
      <c r="E227" s="98"/>
      <c r="F227" s="86"/>
      <c r="G227" s="87"/>
      <c r="H227" s="99"/>
      <c r="I227" s="88" t="s">
        <v>201</v>
      </c>
    </row>
    <row r="228" ht="14">
      <c r="C228" s="97" t="s">
        <v>212</v>
      </c>
      <c r="D228" s="97"/>
      <c r="E228" s="98"/>
      <c r="F228" s="86"/>
      <c r="G228" s="87"/>
      <c r="H228" s="99"/>
      <c r="I228" s="88" t="s">
        <v>13</v>
      </c>
    </row>
    <row r="229" ht="14">
      <c r="C229" s="97" t="s">
        <v>213</v>
      </c>
      <c r="D229" s="97"/>
      <c r="E229" s="98"/>
      <c r="F229" s="86"/>
      <c r="G229" s="87"/>
      <c r="H229" s="99"/>
      <c r="I229" s="88" t="s">
        <v>13</v>
      </c>
    </row>
    <row r="230" ht="14">
      <c r="C230" s="97" t="s">
        <v>214</v>
      </c>
      <c r="D230" s="97"/>
      <c r="E230" s="98"/>
      <c r="F230" s="86"/>
      <c r="G230" s="87"/>
      <c r="H230" s="99"/>
      <c r="I230" s="88" t="s">
        <v>13</v>
      </c>
    </row>
    <row r="231" ht="14">
      <c r="C231" s="97" t="s">
        <v>215</v>
      </c>
      <c r="D231" s="97"/>
      <c r="E231" s="98"/>
      <c r="F231" s="86"/>
      <c r="G231" s="87"/>
      <c r="H231" s="99"/>
      <c r="I231" s="88" t="s">
        <v>71</v>
      </c>
    </row>
    <row r="232" ht="14">
      <c r="C232" s="97" t="s">
        <v>216</v>
      </c>
      <c r="D232" s="97"/>
      <c r="E232" s="98"/>
      <c r="F232" s="86"/>
      <c r="G232" s="87"/>
      <c r="H232" s="99"/>
      <c r="I232" s="88" t="s">
        <v>71</v>
      </c>
    </row>
    <row r="233">
      <c r="C233" s="97" t="s">
        <v>217</v>
      </c>
      <c r="D233" s="97"/>
      <c r="E233" s="47"/>
      <c r="F233" s="48"/>
      <c r="G233" s="100"/>
      <c r="H233" s="101"/>
      <c r="I233" s="102" t="s">
        <v>13</v>
      </c>
    </row>
  </sheetData>
  <mergeCells count="46">
    <mergeCell ref="C5:D6"/>
    <mergeCell ref="E5:G5"/>
    <mergeCell ref="I5:I6"/>
    <mergeCell ref="C21:D22"/>
    <mergeCell ref="E21:G21"/>
    <mergeCell ref="I21:I22"/>
    <mergeCell ref="C60:D61"/>
    <mergeCell ref="E60:G60"/>
    <mergeCell ref="I60:I61"/>
    <mergeCell ref="C68:D69"/>
    <mergeCell ref="E68:G68"/>
    <mergeCell ref="I68:I69"/>
    <mergeCell ref="C98:D99"/>
    <mergeCell ref="E98:G98"/>
    <mergeCell ref="I98:I99"/>
    <mergeCell ref="C124:D125"/>
    <mergeCell ref="E124:G124"/>
    <mergeCell ref="I124:I125"/>
    <mergeCell ref="C141:D142"/>
    <mergeCell ref="E141:G141"/>
    <mergeCell ref="I141:I142"/>
    <mergeCell ref="C194:D195"/>
    <mergeCell ref="E194:G194"/>
    <mergeCell ref="I194:I195"/>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s>
  <printOptions headings="0" gridLines="0" horizontalCentered="1"/>
  <pageMargins left="0.25" right="0.25" top="0.5" bottom="0.59999999999999998" header="0.25" footer="0.25"/>
  <pageSetup paperSize="9" scale="90" fitToWidth="1" fitToHeight="1" pageOrder="downThenOver" orientation="portrait" usePrinterDefaults="1" blackAndWhite="0" draft="0" cellComments="none" useFirstPageNumber="0" errors="displayed" horizontalDpi="300" verticalDpi="300" copies="1"/>
  <headerFooter>
    <oddHeader>&amp;R&amp;D</oddHeader>
    <oddFooter>&amp;R&amp;P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139" zoomScale="150" workbookViewId="0">
      <selection activeCell="B1" activeCellId="0" sqref="B1"/>
    </sheetView>
  </sheetViews>
  <sheetFormatPr baseColWidth="10" defaultColWidth="9.1640625" defaultRowHeight="12.75"/>
  <cols>
    <col customWidth="1" min="1" max="1" style="1" width="1.83203125"/>
    <col customWidth="1" min="2" max="2" style="1" width="5"/>
    <col customWidth="1" min="3" max="3" style="1" width="15.83203125"/>
    <col customWidth="1" min="4" max="4" style="1" width="15.1640625"/>
    <col customWidth="1" min="5" max="5" style="104" width="10.5"/>
    <col customWidth="1" min="6" max="6" style="105" width="10.5"/>
    <col customWidth="1" min="7" max="7" style="106" width="8.33203125"/>
    <col customWidth="1" min="8" max="8" style="107" width="10.5"/>
    <col customWidth="1" min="9" max="9" style="108" width="15.1640625"/>
    <col min="10" max="22" style="1" width="9.1640625"/>
    <col min="23" max="16384" style="103" width="9.1640625"/>
  </cols>
  <sheetData>
    <row r="1" s="1" customFormat="1" ht="21.75">
      <c r="B1" s="5" t="str">
        <f>FOOD!C1</f>
        <v xml:space="preserve">SW Grill</v>
      </c>
      <c r="E1" s="2"/>
      <c r="F1" s="4"/>
      <c r="G1" s="109"/>
      <c r="H1" s="6"/>
      <c r="I1" s="110"/>
      <c r="W1" s="103"/>
    </row>
    <row r="2" s="1" customFormat="1">
      <c r="B2" s="1" t="s">
        <v>218</v>
      </c>
      <c r="E2" s="2"/>
      <c r="F2" s="4"/>
      <c r="G2" s="109"/>
      <c r="H2" s="6" t="s">
        <v>2</v>
      </c>
      <c r="I2" s="110"/>
      <c r="W2" s="103"/>
    </row>
    <row r="3" s="1" customFormat="1">
      <c r="D3" s="111"/>
      <c r="F3" s="4"/>
      <c r="G3" s="109"/>
      <c r="H3" s="6"/>
      <c r="I3" s="110"/>
      <c r="W3" s="103"/>
    </row>
    <row r="4" s="112" customFormat="1">
      <c r="B4" s="9"/>
      <c r="G4" s="113"/>
      <c r="I4" s="114"/>
    </row>
    <row r="5" s="1" customFormat="1" ht="12.75" customHeight="1">
      <c r="B5" s="115" t="s">
        <v>3</v>
      </c>
      <c r="C5" s="115"/>
      <c r="D5" s="115"/>
      <c r="E5" s="13"/>
      <c r="F5" s="13"/>
      <c r="G5" s="13"/>
      <c r="H5" s="14"/>
      <c r="I5" s="15" t="s">
        <v>219</v>
      </c>
    </row>
    <row r="6" s="1" customFormat="1" ht="15" customHeight="1">
      <c r="B6" s="115"/>
      <c r="C6" s="115"/>
      <c r="D6" s="115"/>
      <c r="E6" s="16" t="s">
        <v>5</v>
      </c>
      <c r="F6" s="17" t="s">
        <v>6</v>
      </c>
      <c r="G6" s="18" t="s">
        <v>7</v>
      </c>
      <c r="H6" s="19" t="s">
        <v>8</v>
      </c>
      <c r="I6" s="15"/>
    </row>
    <row r="7" s="1" customFormat="1" ht="23.25" customHeight="1">
      <c r="B7" s="20" t="s">
        <v>220</v>
      </c>
      <c r="C7" s="20"/>
      <c r="D7" s="21"/>
      <c r="E7" s="22"/>
      <c r="F7" s="23"/>
      <c r="G7" s="24"/>
      <c r="H7" s="25"/>
      <c r="I7" s="26"/>
    </row>
    <row r="8" ht="16.5">
      <c r="B8" s="116" t="s">
        <v>221</v>
      </c>
      <c r="C8" s="116"/>
      <c r="D8" s="116"/>
      <c r="E8" s="117" t="s">
        <v>222</v>
      </c>
      <c r="F8" s="118"/>
      <c r="G8" s="119"/>
      <c r="H8" s="117"/>
      <c r="I8" s="120"/>
    </row>
    <row r="9">
      <c r="B9" s="121" t="s">
        <v>223</v>
      </c>
      <c r="C9" s="121"/>
      <c r="D9" s="121"/>
      <c r="E9" s="117" t="s">
        <v>222</v>
      </c>
      <c r="F9" s="118"/>
      <c r="G9" s="119">
        <v>2</v>
      </c>
      <c r="H9" s="117"/>
      <c r="I9" s="120"/>
    </row>
    <row r="10">
      <c r="B10" s="122" t="s">
        <v>224</v>
      </c>
      <c r="C10" s="122"/>
      <c r="D10" s="122"/>
      <c r="E10" s="117" t="s">
        <v>222</v>
      </c>
      <c r="F10" s="118"/>
      <c r="G10" s="119">
        <v>1</v>
      </c>
      <c r="H10" s="123"/>
      <c r="I10" s="120"/>
    </row>
    <row r="11">
      <c r="B11" s="122" t="s">
        <v>225</v>
      </c>
      <c r="C11" s="122"/>
      <c r="D11" s="122"/>
      <c r="E11" s="117" t="s">
        <v>226</v>
      </c>
      <c r="F11" s="118"/>
      <c r="G11" s="119">
        <v>2</v>
      </c>
      <c r="H11" s="123"/>
      <c r="I11" s="120"/>
    </row>
    <row r="12">
      <c r="B12" s="122" t="s">
        <v>227</v>
      </c>
      <c r="C12" s="122"/>
      <c r="D12" s="122"/>
      <c r="E12" s="117" t="s">
        <v>226</v>
      </c>
      <c r="F12" s="118"/>
      <c r="G12" s="119"/>
      <c r="H12" s="123"/>
      <c r="I12" s="120"/>
    </row>
    <row r="13">
      <c r="B13" s="122" t="s">
        <v>228</v>
      </c>
      <c r="C13" s="122"/>
      <c r="D13" s="122"/>
      <c r="E13" s="117" t="s">
        <v>226</v>
      </c>
      <c r="F13" s="118"/>
      <c r="G13" s="119"/>
      <c r="H13" s="123"/>
      <c r="I13" s="120"/>
    </row>
    <row r="14">
      <c r="B14" s="122" t="s">
        <v>229</v>
      </c>
      <c r="C14" s="122"/>
      <c r="D14" s="122"/>
      <c r="E14" s="117" t="s">
        <v>226</v>
      </c>
      <c r="F14" s="118"/>
      <c r="G14" s="119"/>
      <c r="H14" s="123"/>
      <c r="I14" s="120"/>
    </row>
    <row r="15">
      <c r="B15" s="122" t="s">
        <v>230</v>
      </c>
      <c r="C15" s="122"/>
      <c r="D15" s="122"/>
      <c r="E15" s="117" t="s">
        <v>226</v>
      </c>
      <c r="F15" s="118"/>
      <c r="G15" s="119"/>
      <c r="H15" s="123"/>
      <c r="I15" s="120"/>
    </row>
    <row r="16" s="1" customFormat="1">
      <c r="B16" s="122" t="s">
        <v>231</v>
      </c>
      <c r="C16" s="122"/>
      <c r="D16" s="122"/>
      <c r="E16" s="117" t="s">
        <v>226</v>
      </c>
      <c r="F16" s="118"/>
      <c r="G16" s="119"/>
      <c r="H16" s="124"/>
      <c r="I16" s="120"/>
    </row>
    <row r="17">
      <c r="B17" s="122" t="s">
        <v>232</v>
      </c>
      <c r="C17" s="122"/>
      <c r="D17" s="122"/>
      <c r="E17" s="117" t="s">
        <v>226</v>
      </c>
      <c r="F17" s="118"/>
      <c r="G17" s="119"/>
      <c r="H17" s="123"/>
      <c r="I17" s="120"/>
    </row>
    <row r="18">
      <c r="B18" s="122" t="s">
        <v>233</v>
      </c>
      <c r="C18" s="122"/>
      <c r="D18" s="122"/>
      <c r="E18" s="117" t="s">
        <v>226</v>
      </c>
      <c r="F18" s="118"/>
      <c r="G18" s="119"/>
      <c r="H18" s="123"/>
      <c r="I18" s="120"/>
    </row>
    <row r="19">
      <c r="B19" s="122" t="s">
        <v>234</v>
      </c>
      <c r="C19" s="122"/>
      <c r="D19" s="122"/>
      <c r="E19" s="117" t="s">
        <v>226</v>
      </c>
      <c r="F19" s="118"/>
      <c r="G19" s="119"/>
      <c r="H19" s="123"/>
      <c r="I19" s="120"/>
    </row>
    <row r="20" ht="16.5">
      <c r="B20" s="125" t="s">
        <v>235</v>
      </c>
      <c r="C20" s="122"/>
      <c r="D20" s="122"/>
      <c r="E20" s="117"/>
      <c r="F20" s="118"/>
      <c r="G20" s="119"/>
      <c r="H20" s="123"/>
      <c r="I20" s="120"/>
    </row>
    <row r="21">
      <c r="B21" s="122" t="s">
        <v>236</v>
      </c>
      <c r="C21" s="122"/>
      <c r="D21" s="122"/>
      <c r="E21" s="117" t="s">
        <v>226</v>
      </c>
      <c r="F21" s="118"/>
      <c r="G21" s="119"/>
      <c r="H21" s="117"/>
      <c r="I21" s="120"/>
    </row>
    <row r="22">
      <c r="B22" s="122" t="s">
        <v>237</v>
      </c>
      <c r="C22" s="122"/>
      <c r="D22" s="122"/>
      <c r="E22" s="117" t="s">
        <v>226</v>
      </c>
      <c r="F22" s="118"/>
      <c r="G22" s="119"/>
      <c r="H22" s="123"/>
      <c r="I22" s="120"/>
    </row>
    <row r="23">
      <c r="B23" s="122" t="s">
        <v>238</v>
      </c>
      <c r="C23" s="122"/>
      <c r="D23" s="122"/>
      <c r="E23" s="117" t="s">
        <v>226</v>
      </c>
      <c r="F23" s="118"/>
      <c r="G23" s="119"/>
      <c r="H23" s="123"/>
      <c r="I23" s="120"/>
    </row>
    <row r="24">
      <c r="B24" s="126" t="s">
        <v>239</v>
      </c>
      <c r="C24" s="126"/>
      <c r="D24" s="126"/>
      <c r="E24" s="117" t="s">
        <v>226</v>
      </c>
      <c r="F24" s="118"/>
      <c r="G24" s="119"/>
      <c r="H24" s="123"/>
      <c r="I24" s="120"/>
    </row>
    <row r="25">
      <c r="B25" s="126" t="s">
        <v>240</v>
      </c>
      <c r="C25" s="126"/>
      <c r="D25" s="126"/>
      <c r="E25" s="117" t="s">
        <v>226</v>
      </c>
      <c r="F25" s="118"/>
      <c r="G25" s="119"/>
      <c r="H25" s="123"/>
      <c r="I25" s="120"/>
    </row>
    <row r="26">
      <c r="B26" s="126" t="s">
        <v>241</v>
      </c>
      <c r="C26" s="126"/>
      <c r="D26" s="126"/>
      <c r="E26" s="117" t="s">
        <v>226</v>
      </c>
      <c r="F26" s="118"/>
      <c r="G26" s="119"/>
      <c r="H26" s="123"/>
      <c r="I26" s="120"/>
    </row>
    <row r="27">
      <c r="B27" s="126" t="s">
        <v>242</v>
      </c>
      <c r="C27" s="126"/>
      <c r="D27" s="126"/>
      <c r="E27" s="117" t="s">
        <v>226</v>
      </c>
      <c r="F27" s="118"/>
      <c r="G27" s="119"/>
      <c r="H27" s="123"/>
      <c r="I27" s="120"/>
    </row>
    <row r="28">
      <c r="B28" s="126" t="s">
        <v>243</v>
      </c>
      <c r="C28" s="126"/>
      <c r="D28" s="126"/>
      <c r="E28" s="117" t="s">
        <v>226</v>
      </c>
      <c r="F28" s="118"/>
      <c r="G28" s="119"/>
      <c r="H28" s="123"/>
      <c r="I28" s="120"/>
    </row>
    <row r="29">
      <c r="B29" s="126" t="s">
        <v>244</v>
      </c>
      <c r="C29" s="126"/>
      <c r="D29" s="126"/>
      <c r="E29" s="117" t="s">
        <v>226</v>
      </c>
      <c r="F29" s="118"/>
      <c r="G29" s="119"/>
      <c r="H29" s="123"/>
      <c r="I29" s="120"/>
    </row>
    <row r="30" ht="16.5">
      <c r="B30" s="127" t="s">
        <v>245</v>
      </c>
      <c r="C30" s="126"/>
      <c r="D30" s="126"/>
      <c r="E30" s="117"/>
      <c r="F30" s="118"/>
      <c r="G30" s="119"/>
      <c r="H30" s="123"/>
      <c r="I30" s="120"/>
    </row>
    <row r="31">
      <c r="B31" s="126" t="s">
        <v>246</v>
      </c>
      <c r="C31" s="126"/>
      <c r="D31" s="126"/>
      <c r="E31" s="117" t="s">
        <v>226</v>
      </c>
      <c r="F31" s="118"/>
      <c r="G31" s="119"/>
      <c r="H31" s="123"/>
      <c r="I31" s="120"/>
    </row>
    <row r="32">
      <c r="B32" s="126" t="s">
        <v>247</v>
      </c>
      <c r="C32" s="126"/>
      <c r="D32" s="126"/>
      <c r="E32" s="117" t="s">
        <v>226</v>
      </c>
      <c r="F32" s="118"/>
      <c r="G32" s="119"/>
      <c r="H32" s="123"/>
      <c r="I32" s="120"/>
    </row>
    <row r="33">
      <c r="B33" s="128" t="s">
        <v>248</v>
      </c>
      <c r="C33" s="128"/>
      <c r="D33" s="128"/>
      <c r="E33" s="117" t="s">
        <v>226</v>
      </c>
      <c r="F33" s="118"/>
      <c r="G33" s="119"/>
      <c r="H33" s="123"/>
      <c r="I33" s="120"/>
    </row>
    <row r="34">
      <c r="B34" s="128" t="s">
        <v>249</v>
      </c>
      <c r="C34" s="128"/>
      <c r="D34" s="128"/>
      <c r="E34" s="117" t="s">
        <v>226</v>
      </c>
      <c r="F34" s="118"/>
      <c r="G34" s="119"/>
      <c r="H34" s="123"/>
      <c r="I34" s="120"/>
    </row>
    <row r="35" ht="16.5">
      <c r="B35" s="129" t="s">
        <v>250</v>
      </c>
      <c r="C35" s="128"/>
      <c r="D35" s="128"/>
      <c r="E35" s="117"/>
      <c r="F35" s="118"/>
      <c r="G35" s="119"/>
      <c r="H35" s="123"/>
      <c r="I35" s="120"/>
    </row>
    <row r="36">
      <c r="B36" s="128" t="s">
        <v>251</v>
      </c>
      <c r="C36" s="128"/>
      <c r="D36" s="128"/>
      <c r="E36" s="117" t="s">
        <v>222</v>
      </c>
      <c r="F36" s="118"/>
      <c r="G36" s="119"/>
      <c r="H36" s="123"/>
      <c r="I36" s="120"/>
    </row>
    <row r="37">
      <c r="B37" s="128" t="s">
        <v>252</v>
      </c>
      <c r="C37" s="128"/>
      <c r="D37" s="128"/>
      <c r="E37" s="117" t="s">
        <v>226</v>
      </c>
      <c r="F37" s="118"/>
      <c r="G37" s="119"/>
      <c r="H37" s="123"/>
      <c r="I37" s="120"/>
    </row>
    <row r="38">
      <c r="B38" s="128" t="s">
        <v>253</v>
      </c>
      <c r="C38" s="128"/>
      <c r="D38" s="128"/>
      <c r="E38" s="117" t="s">
        <v>226</v>
      </c>
      <c r="F38" s="118"/>
      <c r="G38" s="119"/>
      <c r="H38" s="123"/>
      <c r="I38" s="120"/>
    </row>
    <row r="39">
      <c r="B39" s="128" t="s">
        <v>254</v>
      </c>
      <c r="C39" s="128"/>
      <c r="D39" s="128"/>
      <c r="E39" s="117" t="s">
        <v>226</v>
      </c>
      <c r="F39" s="118"/>
      <c r="G39" s="119"/>
      <c r="H39" s="123"/>
      <c r="I39" s="120"/>
    </row>
    <row r="40">
      <c r="B40" s="128" t="s">
        <v>255</v>
      </c>
      <c r="C40" s="128"/>
      <c r="D40" s="128"/>
      <c r="E40" s="117" t="s">
        <v>226</v>
      </c>
      <c r="F40" s="118"/>
      <c r="G40" s="119"/>
      <c r="H40" s="123"/>
      <c r="I40" s="120"/>
    </row>
    <row r="41">
      <c r="B41" s="128" t="s">
        <v>256</v>
      </c>
      <c r="C41" s="128"/>
      <c r="D41" s="128"/>
      <c r="E41" s="117" t="s">
        <v>226</v>
      </c>
      <c r="F41" s="118"/>
      <c r="G41" s="119"/>
      <c r="H41" s="123"/>
      <c r="I41" s="120"/>
    </row>
    <row r="42">
      <c r="B42" s="128" t="s">
        <v>257</v>
      </c>
      <c r="C42" s="128"/>
      <c r="D42" s="128"/>
      <c r="E42" s="117" t="s">
        <v>226</v>
      </c>
      <c r="F42" s="118"/>
      <c r="G42" s="119"/>
      <c r="H42" s="123"/>
      <c r="I42" s="120"/>
    </row>
    <row r="43">
      <c r="B43" s="128" t="s">
        <v>258</v>
      </c>
      <c r="C43" s="128"/>
      <c r="D43" s="128"/>
      <c r="E43" s="117" t="s">
        <v>226</v>
      </c>
      <c r="F43" s="118"/>
      <c r="G43" s="119"/>
      <c r="H43" s="123"/>
      <c r="I43" s="120"/>
    </row>
    <row r="44">
      <c r="B44" s="128" t="s">
        <v>259</v>
      </c>
      <c r="C44" s="128"/>
      <c r="D44" s="128"/>
      <c r="E44" s="117" t="s">
        <v>226</v>
      </c>
      <c r="F44" s="118"/>
      <c r="G44" s="119"/>
      <c r="H44" s="123"/>
      <c r="I44" s="120"/>
    </row>
    <row r="45">
      <c r="B45" s="128" t="s">
        <v>260</v>
      </c>
      <c r="C45" s="128"/>
      <c r="D45" s="128"/>
      <c r="E45" s="117" t="s">
        <v>226</v>
      </c>
      <c r="F45" s="118"/>
      <c r="G45" s="119"/>
      <c r="H45" s="123"/>
      <c r="I45" s="120"/>
    </row>
    <row r="46">
      <c r="B46" s="128" t="s">
        <v>261</v>
      </c>
      <c r="C46" s="128"/>
      <c r="D46" s="128"/>
      <c r="E46" s="117" t="s">
        <v>226</v>
      </c>
      <c r="F46" s="118"/>
      <c r="G46" s="119"/>
      <c r="H46" s="123"/>
      <c r="I46" s="120"/>
    </row>
    <row r="47">
      <c r="B47" s="128" t="s">
        <v>262</v>
      </c>
      <c r="C47" s="128"/>
      <c r="D47" s="128"/>
      <c r="E47" s="117" t="s">
        <v>226</v>
      </c>
      <c r="F47" s="118"/>
      <c r="G47" s="119"/>
      <c r="H47" s="123"/>
      <c r="I47" s="120"/>
    </row>
    <row r="48">
      <c r="B48" s="128" t="s">
        <v>263</v>
      </c>
      <c r="C48" s="128"/>
      <c r="D48" s="128"/>
      <c r="E48" s="117" t="s">
        <v>226</v>
      </c>
      <c r="F48" s="118"/>
      <c r="G48" s="119"/>
      <c r="H48" s="123"/>
      <c r="I48" s="120"/>
    </row>
    <row r="49">
      <c r="B49" s="128" t="s">
        <v>264</v>
      </c>
      <c r="C49" s="128"/>
      <c r="D49" s="128"/>
      <c r="E49" s="117" t="s">
        <v>226</v>
      </c>
      <c r="F49" s="118"/>
      <c r="G49" s="119"/>
      <c r="H49" s="123"/>
      <c r="I49" s="120"/>
    </row>
    <row r="50">
      <c r="B50" s="128" t="s">
        <v>265</v>
      </c>
      <c r="C50" s="128"/>
      <c r="D50" s="128"/>
      <c r="E50" s="117" t="s">
        <v>226</v>
      </c>
      <c r="F50" s="118"/>
      <c r="G50" s="119"/>
      <c r="H50" s="123"/>
      <c r="I50" s="120"/>
    </row>
    <row r="51">
      <c r="B51" s="128" t="s">
        <v>266</v>
      </c>
      <c r="C51" s="128"/>
      <c r="D51" s="128"/>
      <c r="E51" s="117" t="s">
        <v>226</v>
      </c>
      <c r="F51" s="118"/>
      <c r="G51" s="119"/>
      <c r="H51" s="123"/>
      <c r="I51" s="120"/>
    </row>
    <row r="52">
      <c r="B52" s="128" t="s">
        <v>267</v>
      </c>
      <c r="C52" s="128"/>
      <c r="D52" s="128"/>
      <c r="E52" s="117" t="s">
        <v>226</v>
      </c>
      <c r="F52" s="118"/>
      <c r="G52" s="119"/>
      <c r="H52" s="123"/>
      <c r="I52" s="120"/>
    </row>
    <row r="53">
      <c r="B53" s="128" t="s">
        <v>268</v>
      </c>
      <c r="C53" s="128"/>
      <c r="D53" s="128"/>
      <c r="E53" s="117" t="s">
        <v>226</v>
      </c>
      <c r="F53" s="118"/>
      <c r="G53" s="119"/>
      <c r="H53" s="123"/>
      <c r="I53" s="120"/>
    </row>
    <row r="54">
      <c r="B54" s="128" t="s">
        <v>269</v>
      </c>
      <c r="C54" s="128"/>
      <c r="D54" s="128"/>
      <c r="E54" s="117" t="s">
        <v>226</v>
      </c>
      <c r="F54" s="118"/>
      <c r="G54" s="119"/>
      <c r="H54" s="123"/>
      <c r="I54" s="120"/>
    </row>
    <row r="55">
      <c r="B55" s="128" t="s">
        <v>270</v>
      </c>
      <c r="C55" s="128"/>
      <c r="D55" s="128"/>
      <c r="E55" s="117" t="s">
        <v>226</v>
      </c>
      <c r="F55" s="118"/>
      <c r="G55" s="119"/>
      <c r="H55" s="123"/>
      <c r="I55" s="120"/>
    </row>
    <row r="56" ht="16.5">
      <c r="B56" s="129" t="s">
        <v>271</v>
      </c>
      <c r="C56" s="129"/>
      <c r="D56" s="128"/>
      <c r="E56" s="117"/>
      <c r="F56" s="118"/>
      <c r="G56" s="119"/>
      <c r="H56" s="123"/>
      <c r="I56" s="120"/>
    </row>
    <row r="57">
      <c r="B57" s="128" t="s">
        <v>272</v>
      </c>
      <c r="C57" s="128"/>
      <c r="D57" s="128"/>
      <c r="E57" s="117" t="s">
        <v>226</v>
      </c>
      <c r="F57" s="118"/>
      <c r="G57" s="119"/>
      <c r="H57" s="123"/>
      <c r="I57" s="120"/>
    </row>
    <row r="58">
      <c r="B58" s="128" t="s">
        <v>273</v>
      </c>
      <c r="C58" s="128"/>
      <c r="D58" s="128"/>
      <c r="E58" s="117" t="s">
        <v>226</v>
      </c>
      <c r="F58" s="118"/>
      <c r="G58" s="119"/>
      <c r="H58" s="123"/>
      <c r="I58" s="120"/>
    </row>
    <row r="59">
      <c r="B59" s="128" t="s">
        <v>274</v>
      </c>
      <c r="C59" s="128"/>
      <c r="D59" s="128"/>
      <c r="E59" s="117" t="s">
        <v>226</v>
      </c>
      <c r="F59" s="118"/>
      <c r="G59" s="119"/>
      <c r="H59" s="123"/>
      <c r="I59" s="120"/>
    </row>
    <row r="60">
      <c r="B60" s="128" t="s">
        <v>275</v>
      </c>
      <c r="C60" s="128"/>
      <c r="D60" s="128"/>
      <c r="E60" s="117" t="s">
        <v>226</v>
      </c>
      <c r="F60" s="118"/>
      <c r="G60" s="119"/>
      <c r="H60" s="123"/>
      <c r="I60" s="120"/>
    </row>
    <row r="61">
      <c r="B61" s="128" t="s">
        <v>276</v>
      </c>
      <c r="C61" s="128"/>
      <c r="D61" s="128"/>
      <c r="E61" s="117" t="s">
        <v>226</v>
      </c>
      <c r="F61" s="118"/>
      <c r="G61" s="119"/>
      <c r="H61" s="123"/>
      <c r="I61" s="120"/>
    </row>
    <row r="62" ht="16.5">
      <c r="B62" s="129" t="s">
        <v>277</v>
      </c>
      <c r="C62" s="128"/>
      <c r="D62" s="128"/>
      <c r="E62" s="117"/>
      <c r="F62" s="118"/>
      <c r="G62" s="119"/>
      <c r="H62" s="123"/>
      <c r="I62" s="120"/>
    </row>
    <row r="63">
      <c r="B63" s="128" t="s">
        <v>278</v>
      </c>
      <c r="C63" s="128"/>
      <c r="D63" s="128"/>
      <c r="E63" s="117" t="s">
        <v>226</v>
      </c>
      <c r="F63" s="118"/>
      <c r="G63" s="119"/>
      <c r="H63" s="123"/>
      <c r="I63" s="120"/>
    </row>
    <row r="64">
      <c r="B64" s="128" t="s">
        <v>279</v>
      </c>
      <c r="C64" s="128"/>
      <c r="D64" s="128"/>
      <c r="E64" s="117" t="s">
        <v>226</v>
      </c>
      <c r="F64" s="118"/>
      <c r="G64" s="119"/>
      <c r="H64" s="123"/>
      <c r="I64" s="120"/>
    </row>
    <row r="65">
      <c r="B65" s="128" t="s">
        <v>280</v>
      </c>
      <c r="C65" s="128"/>
      <c r="D65" s="128"/>
      <c r="E65" s="117" t="s">
        <v>226</v>
      </c>
      <c r="F65" s="118"/>
      <c r="G65" s="119"/>
      <c r="H65" s="123"/>
      <c r="I65" s="120"/>
    </row>
    <row r="66">
      <c r="B66" s="128" t="s">
        <v>281</v>
      </c>
      <c r="C66" s="128"/>
      <c r="D66" s="128"/>
      <c r="E66" s="117" t="s">
        <v>226</v>
      </c>
      <c r="F66" s="118"/>
      <c r="G66" s="119"/>
      <c r="H66" s="123"/>
      <c r="I66" s="120"/>
    </row>
    <row r="67">
      <c r="B67" s="128" t="s">
        <v>282</v>
      </c>
      <c r="C67" s="128"/>
      <c r="D67" s="128"/>
      <c r="E67" s="117" t="s">
        <v>226</v>
      </c>
      <c r="F67" s="118"/>
      <c r="G67" s="119"/>
      <c r="H67" s="123"/>
      <c r="I67" s="120"/>
    </row>
    <row r="68">
      <c r="B68" s="128" t="s">
        <v>283</v>
      </c>
      <c r="C68" s="128"/>
      <c r="D68" s="128"/>
      <c r="E68" s="117" t="s">
        <v>226</v>
      </c>
      <c r="F68" s="118"/>
      <c r="G68" s="119"/>
      <c r="H68" s="123"/>
      <c r="I68" s="120"/>
    </row>
    <row r="69">
      <c r="B69" s="128" t="s">
        <v>284</v>
      </c>
      <c r="C69" s="128"/>
      <c r="D69" s="128"/>
      <c r="E69" s="117" t="s">
        <v>226</v>
      </c>
      <c r="F69" s="118"/>
      <c r="G69" s="119"/>
      <c r="H69" s="123"/>
      <c r="I69" s="120"/>
    </row>
    <row r="70">
      <c r="B70" s="128" t="s">
        <v>285</v>
      </c>
      <c r="C70" s="128"/>
      <c r="D70" s="128"/>
      <c r="E70" s="117" t="s">
        <v>226</v>
      </c>
      <c r="F70" s="118"/>
      <c r="G70" s="119"/>
      <c r="H70" s="123"/>
      <c r="I70" s="120"/>
    </row>
    <row r="71">
      <c r="B71" s="128" t="s">
        <v>286</v>
      </c>
      <c r="C71" s="128"/>
      <c r="D71" s="128"/>
      <c r="E71" s="117" t="s">
        <v>222</v>
      </c>
      <c r="F71" s="118"/>
      <c r="G71" s="119"/>
      <c r="H71" s="123"/>
      <c r="I71" s="120"/>
    </row>
    <row r="72">
      <c r="B72" s="128" t="s">
        <v>287</v>
      </c>
      <c r="C72" s="128"/>
      <c r="D72" s="128"/>
      <c r="E72" s="117" t="s">
        <v>222</v>
      </c>
      <c r="F72" s="118"/>
      <c r="G72" s="119"/>
      <c r="H72" s="123"/>
      <c r="I72" s="120"/>
    </row>
    <row r="73">
      <c r="B73" s="128" t="s">
        <v>288</v>
      </c>
      <c r="C73" s="128"/>
      <c r="D73" s="128"/>
      <c r="E73" s="117" t="s">
        <v>222</v>
      </c>
      <c r="F73" s="118"/>
      <c r="G73" s="119"/>
      <c r="H73" s="123"/>
      <c r="I73" s="120"/>
    </row>
    <row r="74">
      <c r="B74" s="128" t="s">
        <v>289</v>
      </c>
      <c r="C74" s="128"/>
      <c r="D74" s="128"/>
      <c r="E74" s="117" t="s">
        <v>226</v>
      </c>
      <c r="F74" s="118"/>
      <c r="G74" s="119"/>
      <c r="H74" s="123"/>
      <c r="I74" s="120"/>
    </row>
    <row r="75">
      <c r="B75" s="128" t="s">
        <v>290</v>
      </c>
      <c r="C75" s="128"/>
      <c r="D75" s="128"/>
      <c r="E75" s="117" t="s">
        <v>226</v>
      </c>
      <c r="F75" s="118"/>
      <c r="G75" s="119"/>
      <c r="H75" s="123"/>
      <c r="I75" s="120"/>
    </row>
    <row r="76">
      <c r="B76" s="128" t="s">
        <v>291</v>
      </c>
      <c r="C76" s="128"/>
      <c r="D76" s="128"/>
      <c r="E76" s="117" t="s">
        <v>226</v>
      </c>
      <c r="F76" s="118"/>
      <c r="G76" s="119"/>
      <c r="H76" s="123"/>
      <c r="I76" s="120"/>
    </row>
    <row r="77">
      <c r="B77" s="128" t="s">
        <v>292</v>
      </c>
      <c r="C77" s="128"/>
      <c r="D77" s="128"/>
      <c r="E77" s="117" t="s">
        <v>226</v>
      </c>
      <c r="F77" s="118"/>
      <c r="G77" s="119"/>
      <c r="H77" s="123"/>
      <c r="I77" s="120"/>
    </row>
    <row r="78">
      <c r="B78" s="128" t="s">
        <v>293</v>
      </c>
      <c r="C78" s="128"/>
      <c r="D78" s="128"/>
      <c r="E78" s="117" t="s">
        <v>226</v>
      </c>
      <c r="F78" s="118"/>
      <c r="G78" s="119"/>
      <c r="H78" s="123"/>
      <c r="I78" s="120"/>
    </row>
    <row r="79">
      <c r="B79" s="128" t="s">
        <v>294</v>
      </c>
      <c r="C79" s="128"/>
      <c r="D79" s="128"/>
      <c r="E79" s="117" t="s">
        <v>226</v>
      </c>
      <c r="F79" s="118"/>
      <c r="G79" s="119"/>
      <c r="H79" s="123"/>
      <c r="I79" s="120"/>
    </row>
    <row r="80">
      <c r="B80" s="128" t="s">
        <v>295</v>
      </c>
      <c r="C80" s="128"/>
      <c r="D80" s="128"/>
      <c r="E80" s="117" t="s">
        <v>226</v>
      </c>
      <c r="F80" s="118"/>
      <c r="G80" s="119"/>
      <c r="H80" s="123"/>
      <c r="I80" s="120"/>
    </row>
    <row r="81">
      <c r="B81" s="128" t="s">
        <v>296</v>
      </c>
      <c r="C81" s="128"/>
      <c r="D81" s="128"/>
      <c r="E81" s="117" t="s">
        <v>222</v>
      </c>
      <c r="F81" s="118"/>
      <c r="G81" s="119"/>
      <c r="H81" s="123"/>
      <c r="I81" s="120"/>
    </row>
    <row r="82">
      <c r="B82" s="128" t="s">
        <v>297</v>
      </c>
      <c r="C82" s="128"/>
      <c r="D82" s="128"/>
      <c r="E82" s="117" t="s">
        <v>226</v>
      </c>
      <c r="F82" s="118"/>
      <c r="G82" s="119"/>
      <c r="H82" s="123"/>
      <c r="I82" s="120"/>
    </row>
    <row r="83">
      <c r="B83" s="128" t="s">
        <v>298</v>
      </c>
      <c r="C83" s="128"/>
      <c r="D83" s="128"/>
      <c r="E83" s="117" t="s">
        <v>226</v>
      </c>
      <c r="F83" s="118"/>
      <c r="G83" s="119"/>
      <c r="H83" s="123"/>
      <c r="I83" s="120"/>
    </row>
    <row r="84">
      <c r="B84" s="128" t="s">
        <v>299</v>
      </c>
      <c r="C84" s="128"/>
      <c r="D84" s="128"/>
      <c r="E84" s="117" t="s">
        <v>226</v>
      </c>
      <c r="F84" s="118"/>
      <c r="G84" s="119"/>
      <c r="H84" s="123"/>
      <c r="I84" s="120"/>
    </row>
    <row r="85">
      <c r="B85" s="130" t="s">
        <v>300</v>
      </c>
      <c r="C85" s="130"/>
      <c r="D85" s="130"/>
      <c r="E85" s="117" t="s">
        <v>222</v>
      </c>
      <c r="F85" s="118"/>
      <c r="G85" s="119"/>
      <c r="H85" s="123"/>
      <c r="I85" s="120"/>
    </row>
    <row r="86" ht="15" customHeight="1">
      <c r="B86" s="44" t="s">
        <v>301</v>
      </c>
      <c r="C86" s="44"/>
      <c r="D86" s="44"/>
      <c r="E86" s="45"/>
      <c r="F86" s="45"/>
      <c r="G86" s="45"/>
      <c r="H86" s="46"/>
      <c r="I86" s="131" t="s">
        <v>219</v>
      </c>
    </row>
    <row r="87" ht="15" customHeight="1">
      <c r="B87" s="44"/>
      <c r="C87" s="44"/>
      <c r="D87" s="44"/>
      <c r="E87" s="49" t="s">
        <v>5</v>
      </c>
      <c r="F87" s="50" t="s">
        <v>6</v>
      </c>
      <c r="G87" s="51" t="s">
        <v>7</v>
      </c>
      <c r="H87" s="52"/>
      <c r="I87" s="131"/>
    </row>
    <row r="88">
      <c r="B88" s="132" t="s">
        <v>302</v>
      </c>
      <c r="C88" s="132"/>
      <c r="D88" s="132"/>
      <c r="E88" s="117" t="s">
        <v>222</v>
      </c>
      <c r="F88" s="118"/>
      <c r="G88" s="133"/>
      <c r="H88" s="123"/>
      <c r="I88" s="120"/>
    </row>
    <row r="89">
      <c r="B89" s="126" t="s">
        <v>303</v>
      </c>
      <c r="C89" s="126"/>
      <c r="D89" s="126"/>
      <c r="E89" s="117" t="s">
        <v>222</v>
      </c>
      <c r="F89" s="118"/>
      <c r="G89" s="133"/>
      <c r="H89" s="123"/>
      <c r="I89" s="120"/>
    </row>
    <row r="90">
      <c r="B90" s="126" t="s">
        <v>304</v>
      </c>
      <c r="C90" s="126"/>
      <c r="D90" s="126"/>
      <c r="E90" s="117" t="s">
        <v>222</v>
      </c>
      <c r="F90" s="118"/>
      <c r="G90" s="133"/>
      <c r="H90" s="123"/>
      <c r="I90" s="120"/>
    </row>
    <row r="91">
      <c r="B91" s="122" t="s">
        <v>305</v>
      </c>
      <c r="C91" s="122"/>
      <c r="D91" s="122"/>
      <c r="E91" s="117" t="s">
        <v>222</v>
      </c>
      <c r="F91" s="118"/>
      <c r="G91" s="133"/>
      <c r="H91" s="123"/>
      <c r="I91" s="120"/>
    </row>
    <row r="92">
      <c r="B92" s="122" t="s">
        <v>306</v>
      </c>
      <c r="C92" s="122"/>
      <c r="D92" s="122"/>
      <c r="E92" s="117" t="s">
        <v>222</v>
      </c>
      <c r="F92" s="118"/>
      <c r="G92" s="133"/>
      <c r="H92" s="123"/>
      <c r="I92" s="120"/>
    </row>
    <row r="93">
      <c r="B93" s="122" t="s">
        <v>307</v>
      </c>
      <c r="C93" s="122"/>
      <c r="D93" s="122"/>
      <c r="E93" s="117" t="s">
        <v>222</v>
      </c>
      <c r="F93" s="118"/>
      <c r="G93" s="133"/>
      <c r="H93" s="123"/>
      <c r="I93" s="120"/>
    </row>
    <row r="94">
      <c r="B94" s="122" t="s">
        <v>308</v>
      </c>
      <c r="C94" s="122"/>
      <c r="D94" s="122"/>
      <c r="E94" s="117" t="s">
        <v>222</v>
      </c>
      <c r="F94" s="118"/>
      <c r="G94" s="133"/>
      <c r="H94" s="123"/>
      <c r="I94" s="120"/>
    </row>
    <row r="95">
      <c r="B95" s="122" t="s">
        <v>309</v>
      </c>
      <c r="C95" s="122"/>
      <c r="D95" s="122"/>
      <c r="E95" s="117" t="s">
        <v>222</v>
      </c>
      <c r="F95" s="118"/>
      <c r="G95" s="133"/>
      <c r="H95" s="123"/>
      <c r="I95" s="120"/>
    </row>
    <row r="96">
      <c r="B96" s="134" t="s">
        <v>310</v>
      </c>
      <c r="C96" s="122"/>
      <c r="D96" s="122"/>
      <c r="E96" s="117" t="s">
        <v>222</v>
      </c>
      <c r="F96" s="118"/>
      <c r="G96" s="133"/>
      <c r="H96" s="123"/>
      <c r="I96" s="120"/>
    </row>
    <row r="97">
      <c r="B97" s="122" t="s">
        <v>311</v>
      </c>
      <c r="C97" s="122"/>
      <c r="D97" s="122"/>
      <c r="E97" s="117" t="s">
        <v>222</v>
      </c>
      <c r="F97" s="118"/>
      <c r="G97" s="133"/>
      <c r="H97" s="123"/>
      <c r="I97" s="120"/>
    </row>
    <row r="98">
      <c r="B98" s="122" t="s">
        <v>312</v>
      </c>
      <c r="C98" s="122"/>
      <c r="D98" s="122"/>
      <c r="E98" s="117" t="s">
        <v>222</v>
      </c>
      <c r="F98" s="118"/>
      <c r="G98" s="133"/>
      <c r="H98" s="123"/>
      <c r="I98" s="120"/>
    </row>
    <row r="99">
      <c r="B99" s="122" t="s">
        <v>313</v>
      </c>
      <c r="C99" s="122"/>
      <c r="D99" s="122"/>
      <c r="E99" s="117" t="s">
        <v>222</v>
      </c>
      <c r="F99" s="118"/>
      <c r="G99" s="133"/>
      <c r="H99" s="123"/>
      <c r="I99" s="120"/>
    </row>
    <row r="100">
      <c r="B100" s="126" t="s">
        <v>314</v>
      </c>
      <c r="C100" s="126"/>
      <c r="D100" s="126"/>
      <c r="E100" s="117" t="s">
        <v>222</v>
      </c>
      <c r="F100" s="118"/>
      <c r="G100" s="133"/>
      <c r="H100" s="123"/>
      <c r="I100" s="120"/>
    </row>
    <row r="101" ht="15" customHeight="1">
      <c r="B101" s="44" t="s">
        <v>315</v>
      </c>
      <c r="C101" s="44"/>
      <c r="D101" s="44"/>
      <c r="E101" s="45"/>
      <c r="F101" s="45"/>
      <c r="G101" s="45"/>
      <c r="H101" s="46"/>
      <c r="I101" s="131" t="s">
        <v>219</v>
      </c>
    </row>
    <row r="102" ht="15" customHeight="1">
      <c r="B102" s="44"/>
      <c r="C102" s="44"/>
      <c r="D102" s="44"/>
      <c r="E102" s="49" t="s">
        <v>5</v>
      </c>
      <c r="F102" s="50" t="s">
        <v>6</v>
      </c>
      <c r="G102" s="51" t="s">
        <v>7</v>
      </c>
      <c r="H102" s="52"/>
      <c r="I102" s="131"/>
    </row>
    <row r="103">
      <c r="B103" s="132" t="s">
        <v>316</v>
      </c>
      <c r="C103" s="132"/>
      <c r="D103" s="132"/>
      <c r="E103" s="117" t="s">
        <v>222</v>
      </c>
      <c r="F103" s="118"/>
      <c r="G103" s="133"/>
      <c r="H103" s="123"/>
      <c r="I103" s="120"/>
    </row>
    <row r="104">
      <c r="B104" s="126" t="s">
        <v>317</v>
      </c>
      <c r="C104" s="126"/>
      <c r="D104" s="126"/>
      <c r="E104" s="117" t="s">
        <v>222</v>
      </c>
      <c r="F104" s="118"/>
      <c r="G104" s="133"/>
      <c r="H104" s="123"/>
      <c r="I104" s="120"/>
    </row>
    <row r="105">
      <c r="B105" s="126" t="s">
        <v>318</v>
      </c>
      <c r="C105" s="135"/>
      <c r="D105" s="135"/>
      <c r="E105" s="117" t="s">
        <v>222</v>
      </c>
      <c r="F105" s="118"/>
      <c r="G105" s="133"/>
      <c r="H105" s="123"/>
      <c r="I105" s="120"/>
    </row>
    <row r="106">
      <c r="B106" s="126" t="s">
        <v>319</v>
      </c>
      <c r="C106" s="135"/>
      <c r="D106" s="135"/>
      <c r="E106" s="117" t="s">
        <v>222</v>
      </c>
      <c r="F106" s="118"/>
      <c r="G106" s="133"/>
      <c r="H106" s="123"/>
      <c r="I106" s="120"/>
    </row>
    <row r="107">
      <c r="B107" s="126" t="s">
        <v>320</v>
      </c>
      <c r="C107" s="135"/>
      <c r="D107" s="135"/>
      <c r="E107" s="117" t="s">
        <v>222</v>
      </c>
      <c r="F107" s="118"/>
      <c r="G107" s="133"/>
      <c r="H107" s="123"/>
      <c r="I107" s="120"/>
    </row>
    <row r="108">
      <c r="B108" s="126" t="s">
        <v>321</v>
      </c>
      <c r="C108" s="135"/>
      <c r="D108" s="135"/>
      <c r="E108" s="117" t="s">
        <v>222</v>
      </c>
      <c r="F108" s="118"/>
      <c r="G108" s="133"/>
      <c r="H108" s="123"/>
      <c r="I108" s="120"/>
    </row>
    <row r="109">
      <c r="B109" s="126" t="s">
        <v>322</v>
      </c>
      <c r="C109" s="135"/>
      <c r="D109" s="135"/>
      <c r="E109" s="117" t="s">
        <v>222</v>
      </c>
      <c r="F109" s="118"/>
      <c r="G109" s="133"/>
      <c r="H109" s="123"/>
      <c r="I109" s="120"/>
    </row>
    <row r="110">
      <c r="B110" s="126" t="s">
        <v>323</v>
      </c>
      <c r="C110" s="135"/>
      <c r="D110" s="135"/>
      <c r="E110" s="117" t="s">
        <v>222</v>
      </c>
      <c r="F110" s="118"/>
      <c r="G110" s="133"/>
      <c r="H110" s="123"/>
      <c r="I110" s="120"/>
    </row>
    <row r="111">
      <c r="B111" s="126" t="s">
        <v>324</v>
      </c>
      <c r="C111" s="135"/>
      <c r="D111" s="135"/>
      <c r="E111" s="117" t="s">
        <v>222</v>
      </c>
      <c r="F111" s="118"/>
      <c r="G111" s="133"/>
      <c r="H111" s="123"/>
      <c r="I111" s="120"/>
    </row>
    <row r="112">
      <c r="B112" s="126" t="s">
        <v>325</v>
      </c>
      <c r="C112" s="135"/>
      <c r="D112" s="135"/>
      <c r="E112" s="117" t="s">
        <v>222</v>
      </c>
      <c r="F112" s="118"/>
      <c r="G112" s="133"/>
      <c r="H112" s="123"/>
      <c r="I112" s="120"/>
    </row>
    <row r="113" ht="14.25" customHeight="1">
      <c r="B113" s="44" t="s">
        <v>326</v>
      </c>
      <c r="C113" s="44"/>
      <c r="D113" s="44"/>
      <c r="E113" s="45"/>
      <c r="F113" s="45"/>
      <c r="G113" s="45"/>
      <c r="H113" s="46"/>
      <c r="I113" s="131" t="s">
        <v>219</v>
      </c>
    </row>
    <row r="114" ht="15" customHeight="1">
      <c r="B114" s="44"/>
      <c r="C114" s="44"/>
      <c r="D114" s="44"/>
      <c r="E114" s="49" t="s">
        <v>5</v>
      </c>
      <c r="F114" s="50" t="s">
        <v>6</v>
      </c>
      <c r="G114" s="51" t="s">
        <v>7</v>
      </c>
      <c r="H114" s="52"/>
      <c r="I114" s="131"/>
    </row>
    <row r="115">
      <c r="B115" s="132" t="s">
        <v>327</v>
      </c>
      <c r="C115" s="132"/>
      <c r="D115" s="132"/>
      <c r="E115" s="117" t="s">
        <v>222</v>
      </c>
      <c r="F115" s="118"/>
      <c r="G115" s="133"/>
      <c r="H115" s="123"/>
      <c r="I115" s="120"/>
    </row>
    <row r="116">
      <c r="B116" s="126" t="s">
        <v>328</v>
      </c>
      <c r="C116" s="126"/>
      <c r="D116" s="126"/>
      <c r="E116" s="117" t="s">
        <v>222</v>
      </c>
      <c r="F116" s="118"/>
      <c r="G116" s="133"/>
      <c r="H116" s="123"/>
      <c r="I116" s="120"/>
    </row>
    <row r="117">
      <c r="B117" s="126" t="s">
        <v>329</v>
      </c>
      <c r="C117" s="126"/>
      <c r="D117" s="126"/>
      <c r="E117" s="117" t="s">
        <v>222</v>
      </c>
      <c r="F117" s="118"/>
      <c r="G117" s="133"/>
      <c r="H117" s="123"/>
      <c r="I117" s="120"/>
    </row>
    <row r="118">
      <c r="B118" s="126" t="s">
        <v>330</v>
      </c>
      <c r="C118" s="126"/>
      <c r="D118" s="126"/>
      <c r="E118" s="117" t="s">
        <v>222</v>
      </c>
      <c r="F118" s="118"/>
      <c r="G118" s="133"/>
      <c r="H118" s="123"/>
      <c r="I118" s="120"/>
    </row>
    <row r="119">
      <c r="B119" s="126" t="s">
        <v>331</v>
      </c>
      <c r="C119" s="126"/>
      <c r="D119" s="126"/>
      <c r="E119" s="117" t="s">
        <v>222</v>
      </c>
      <c r="F119" s="118"/>
      <c r="G119" s="133"/>
      <c r="H119" s="123"/>
      <c r="I119" s="120"/>
    </row>
    <row r="120">
      <c r="B120" s="126" t="s">
        <v>332</v>
      </c>
      <c r="C120" s="126"/>
      <c r="D120" s="126"/>
      <c r="E120" s="117" t="s">
        <v>222</v>
      </c>
      <c r="F120" s="118"/>
      <c r="G120" s="133"/>
      <c r="H120" s="123"/>
      <c r="I120" s="120"/>
    </row>
    <row r="121">
      <c r="B121" s="126" t="s">
        <v>333</v>
      </c>
      <c r="C121" s="126"/>
      <c r="D121" s="126"/>
      <c r="E121" s="117" t="s">
        <v>222</v>
      </c>
      <c r="F121" s="118"/>
      <c r="G121" s="133"/>
      <c r="H121" s="123"/>
      <c r="I121" s="120"/>
    </row>
    <row r="122">
      <c r="B122" s="126" t="s">
        <v>334</v>
      </c>
      <c r="C122" s="126"/>
      <c r="D122" s="126"/>
      <c r="E122" s="117" t="s">
        <v>222</v>
      </c>
      <c r="F122" s="118"/>
      <c r="G122" s="133"/>
      <c r="H122" s="123"/>
      <c r="I122" s="120"/>
    </row>
    <row r="123">
      <c r="B123" s="126" t="s">
        <v>335</v>
      </c>
      <c r="C123" s="126"/>
      <c r="D123" s="126"/>
      <c r="E123" s="117" t="s">
        <v>222</v>
      </c>
      <c r="F123" s="118"/>
      <c r="G123" s="133"/>
      <c r="H123" s="123"/>
      <c r="I123" s="120"/>
    </row>
    <row r="124">
      <c r="B124" s="126" t="s">
        <v>336</v>
      </c>
      <c r="C124" s="126"/>
      <c r="D124" s="126"/>
      <c r="E124" s="117" t="s">
        <v>222</v>
      </c>
      <c r="F124" s="118"/>
      <c r="G124" s="133"/>
      <c r="H124" s="123"/>
      <c r="I124" s="120"/>
    </row>
    <row r="125">
      <c r="B125" s="126" t="s">
        <v>337</v>
      </c>
      <c r="C125" s="126"/>
      <c r="D125" s="126"/>
      <c r="E125" s="117" t="s">
        <v>226</v>
      </c>
      <c r="F125" s="118"/>
      <c r="G125" s="133"/>
      <c r="H125" s="123"/>
      <c r="I125" s="120"/>
    </row>
    <row r="126">
      <c r="B126" s="126" t="s">
        <v>338</v>
      </c>
      <c r="C126" s="126"/>
      <c r="D126" s="126"/>
      <c r="E126" s="117" t="s">
        <v>226</v>
      </c>
      <c r="F126" s="118"/>
      <c r="G126" s="133"/>
      <c r="H126" s="123"/>
      <c r="I126" s="120"/>
    </row>
    <row r="127">
      <c r="B127" s="126" t="s">
        <v>339</v>
      </c>
      <c r="C127" s="126"/>
      <c r="D127" s="126"/>
      <c r="E127" s="117" t="s">
        <v>226</v>
      </c>
      <c r="F127" s="118"/>
      <c r="G127" s="133"/>
      <c r="H127" s="123"/>
      <c r="I127" s="120"/>
    </row>
    <row r="128">
      <c r="B128" s="126" t="s">
        <v>340</v>
      </c>
      <c r="C128" s="126"/>
      <c r="D128" s="126"/>
      <c r="E128" s="117" t="s">
        <v>222</v>
      </c>
      <c r="F128" s="118"/>
      <c r="G128" s="133"/>
      <c r="H128" s="123"/>
      <c r="I128" s="120"/>
    </row>
    <row r="129">
      <c r="B129" s="126" t="s">
        <v>341</v>
      </c>
      <c r="C129" s="126"/>
      <c r="D129" s="126"/>
      <c r="E129" s="117" t="s">
        <v>222</v>
      </c>
      <c r="F129" s="118"/>
      <c r="G129" s="133"/>
      <c r="H129" s="123"/>
      <c r="I129" s="120"/>
    </row>
    <row r="130">
      <c r="B130" s="126" t="s">
        <v>342</v>
      </c>
      <c r="C130" s="126"/>
      <c r="D130" s="126"/>
      <c r="E130" s="117" t="s">
        <v>222</v>
      </c>
      <c r="F130" s="118"/>
      <c r="G130" s="133"/>
      <c r="H130" s="123"/>
      <c r="I130" s="120"/>
    </row>
    <row r="131">
      <c r="B131" s="126" t="s">
        <v>343</v>
      </c>
      <c r="C131" s="126"/>
      <c r="D131" s="126"/>
      <c r="E131" s="117" t="s">
        <v>226</v>
      </c>
      <c r="F131" s="118"/>
      <c r="G131" s="133"/>
      <c r="H131" s="123"/>
      <c r="I131" s="120"/>
    </row>
    <row r="132" ht="14.25" customHeight="1">
      <c r="B132" s="44" t="s">
        <v>344</v>
      </c>
      <c r="C132" s="44"/>
      <c r="D132" s="44"/>
      <c r="E132" s="45"/>
      <c r="F132" s="45"/>
      <c r="G132" s="45"/>
      <c r="H132" s="46"/>
      <c r="I132" s="131" t="s">
        <v>219</v>
      </c>
    </row>
    <row r="133" ht="15" customHeight="1">
      <c r="B133" s="44"/>
      <c r="C133" s="44"/>
      <c r="D133" s="44"/>
      <c r="E133" s="49" t="s">
        <v>5</v>
      </c>
      <c r="F133" s="50" t="s">
        <v>6</v>
      </c>
      <c r="G133" s="51" t="s">
        <v>7</v>
      </c>
      <c r="H133" s="52"/>
      <c r="I133" s="131"/>
    </row>
    <row r="134">
      <c r="B134" s="136" t="s">
        <v>202</v>
      </c>
      <c r="C134" s="136"/>
      <c r="D134" s="136"/>
      <c r="E134" s="117" t="s">
        <v>222</v>
      </c>
      <c r="F134" s="118"/>
      <c r="G134" s="133"/>
      <c r="H134" s="123"/>
      <c r="I134" s="120"/>
    </row>
    <row r="135">
      <c r="B135" s="122" t="s">
        <v>210</v>
      </c>
      <c r="C135" s="122"/>
      <c r="D135" s="122"/>
      <c r="E135" s="117" t="s">
        <v>222</v>
      </c>
      <c r="F135" s="118"/>
      <c r="G135" s="133"/>
      <c r="H135" s="123"/>
      <c r="I135" s="120"/>
    </row>
    <row r="136">
      <c r="B136" s="137" t="s">
        <v>209</v>
      </c>
      <c r="C136" s="138"/>
      <c r="D136" s="139"/>
      <c r="E136" s="117" t="s">
        <v>222</v>
      </c>
      <c r="F136" s="118"/>
      <c r="G136" s="133"/>
      <c r="H136" s="123"/>
      <c r="I136" s="120"/>
    </row>
    <row r="137">
      <c r="B137" s="120" t="s">
        <v>345</v>
      </c>
      <c r="C137" s="120"/>
      <c r="D137" s="120"/>
      <c r="E137" s="117" t="s">
        <v>222</v>
      </c>
      <c r="F137" s="118"/>
      <c r="G137" s="133"/>
      <c r="H137" s="123"/>
      <c r="I137" s="120"/>
    </row>
    <row r="138">
      <c r="B138" s="137" t="s">
        <v>346</v>
      </c>
      <c r="C138" s="138"/>
      <c r="D138" s="139"/>
      <c r="E138" s="117" t="s">
        <v>222</v>
      </c>
      <c r="F138" s="118"/>
      <c r="G138" s="133"/>
      <c r="H138" s="123"/>
      <c r="I138" s="120"/>
    </row>
    <row r="139">
      <c r="B139" s="137" t="s">
        <v>347</v>
      </c>
      <c r="C139" s="138"/>
      <c r="D139" s="139"/>
      <c r="E139" s="117" t="s">
        <v>222</v>
      </c>
      <c r="F139" s="118"/>
      <c r="G139" s="133"/>
      <c r="H139" s="123"/>
      <c r="I139" s="120"/>
    </row>
    <row r="140">
      <c r="B140" s="137" t="s">
        <v>348</v>
      </c>
      <c r="C140" s="138"/>
      <c r="D140" s="139"/>
      <c r="E140" s="117" t="s">
        <v>222</v>
      </c>
      <c r="F140" s="118"/>
      <c r="G140" s="133"/>
      <c r="H140" s="123"/>
      <c r="I140" s="120"/>
    </row>
    <row r="141">
      <c r="B141" s="137" t="s">
        <v>349</v>
      </c>
      <c r="C141" s="138"/>
      <c r="D141" s="139"/>
      <c r="E141" s="117" t="s">
        <v>222</v>
      </c>
      <c r="F141" s="118"/>
      <c r="G141" s="133"/>
      <c r="H141" s="123"/>
      <c r="I141" s="120"/>
    </row>
    <row r="142">
      <c r="B142" s="137" t="s">
        <v>350</v>
      </c>
      <c r="C142" s="138"/>
      <c r="D142" s="139"/>
      <c r="E142" s="117" t="s">
        <v>222</v>
      </c>
      <c r="F142" s="118"/>
      <c r="G142" s="133"/>
      <c r="H142" s="123"/>
      <c r="I142" s="120"/>
    </row>
    <row r="143">
      <c r="B143" s="137" t="s">
        <v>351</v>
      </c>
      <c r="C143" s="138"/>
      <c r="D143" s="139"/>
      <c r="E143" s="117" t="s">
        <v>222</v>
      </c>
      <c r="F143" s="118"/>
      <c r="G143" s="133"/>
      <c r="H143" s="123"/>
      <c r="I143" s="120"/>
    </row>
    <row r="144">
      <c r="B144" s="137" t="s">
        <v>352</v>
      </c>
      <c r="C144" s="138"/>
      <c r="D144" s="139"/>
      <c r="E144" s="117" t="s">
        <v>222</v>
      </c>
      <c r="F144" s="118"/>
      <c r="G144" s="133"/>
      <c r="H144" s="123"/>
      <c r="I144" s="120"/>
    </row>
    <row r="145">
      <c r="B145" s="137" t="s">
        <v>353</v>
      </c>
      <c r="C145" s="138"/>
      <c r="D145" s="139"/>
      <c r="E145" s="117" t="s">
        <v>222</v>
      </c>
      <c r="F145" s="118"/>
      <c r="G145" s="133"/>
      <c r="H145" s="123"/>
      <c r="I145" s="120"/>
    </row>
    <row r="146">
      <c r="B146" s="137" t="s">
        <v>354</v>
      </c>
      <c r="C146" s="138"/>
      <c r="D146" s="139"/>
      <c r="E146" s="117" t="s">
        <v>222</v>
      </c>
      <c r="F146" s="118"/>
      <c r="G146" s="133"/>
      <c r="H146" s="123"/>
      <c r="I146" s="120"/>
    </row>
    <row r="147">
      <c r="B147" s="120" t="s">
        <v>355</v>
      </c>
      <c r="C147" s="120"/>
      <c r="D147" s="120"/>
      <c r="E147" s="117" t="s">
        <v>222</v>
      </c>
      <c r="F147" s="118"/>
      <c r="G147" s="133"/>
      <c r="H147" s="123"/>
      <c r="I147" s="120"/>
    </row>
    <row r="148">
      <c r="B148" s="120" t="s">
        <v>356</v>
      </c>
      <c r="C148" s="120"/>
      <c r="D148" s="120"/>
      <c r="E148" s="117" t="s">
        <v>222</v>
      </c>
      <c r="F148" s="118"/>
      <c r="G148" s="133"/>
      <c r="H148" s="123"/>
      <c r="I148" s="120"/>
    </row>
    <row r="149">
      <c r="B149" s="120" t="s">
        <v>357</v>
      </c>
      <c r="C149" s="120"/>
      <c r="D149" s="120"/>
      <c r="E149" s="117" t="s">
        <v>222</v>
      </c>
      <c r="F149" s="118"/>
      <c r="G149" s="133"/>
      <c r="H149" s="123"/>
      <c r="I149" s="120"/>
    </row>
    <row r="150">
      <c r="B150" s="120" t="s">
        <v>358</v>
      </c>
      <c r="C150" s="120"/>
      <c r="D150" s="120"/>
      <c r="E150" s="117" t="s">
        <v>222</v>
      </c>
      <c r="F150" s="118"/>
      <c r="G150" s="133"/>
      <c r="H150" s="123"/>
      <c r="I150" s="120"/>
    </row>
    <row r="151">
      <c r="B151" s="120" t="s">
        <v>359</v>
      </c>
      <c r="C151" s="120"/>
      <c r="D151" s="120"/>
      <c r="E151" s="117" t="s">
        <v>222</v>
      </c>
      <c r="F151" s="118"/>
      <c r="G151" s="133"/>
      <c r="H151" s="123"/>
      <c r="I151" s="120"/>
    </row>
    <row r="152">
      <c r="B152" s="120" t="s">
        <v>360</v>
      </c>
      <c r="C152" s="120"/>
      <c r="D152" s="120"/>
      <c r="E152" s="117" t="s">
        <v>222</v>
      </c>
      <c r="F152" s="118"/>
      <c r="G152" s="133"/>
      <c r="H152" s="123"/>
      <c r="I152" s="120"/>
    </row>
    <row r="153">
      <c r="B153" s="120" t="s">
        <v>361</v>
      </c>
      <c r="C153" s="120"/>
      <c r="D153" s="120"/>
      <c r="E153" s="117" t="s">
        <v>362</v>
      </c>
      <c r="F153" s="118"/>
      <c r="G153" s="133"/>
      <c r="H153" s="123"/>
      <c r="I153" s="120"/>
    </row>
    <row r="154">
      <c r="B154" s="137" t="s">
        <v>363</v>
      </c>
      <c r="C154" s="138"/>
      <c r="D154" s="139"/>
      <c r="E154" s="117" t="s">
        <v>362</v>
      </c>
      <c r="F154" s="118"/>
      <c r="G154" s="133"/>
      <c r="H154" s="123"/>
      <c r="I154" s="120"/>
    </row>
    <row r="155">
      <c r="B155" s="137" t="s">
        <v>364</v>
      </c>
      <c r="C155" s="138"/>
      <c r="D155" s="139"/>
      <c r="E155" s="117" t="s">
        <v>362</v>
      </c>
      <c r="F155" s="118"/>
      <c r="G155" s="133"/>
      <c r="H155" s="123"/>
      <c r="I155" s="120"/>
    </row>
    <row r="156">
      <c r="B156" s="137" t="s">
        <v>365</v>
      </c>
      <c r="C156" s="138"/>
      <c r="D156" s="139"/>
      <c r="E156" s="117" t="s">
        <v>362</v>
      </c>
      <c r="F156" s="118"/>
      <c r="G156" s="133"/>
      <c r="H156" s="123"/>
      <c r="I156" s="120"/>
    </row>
    <row r="157">
      <c r="B157" s="137" t="s">
        <v>366</v>
      </c>
      <c r="C157" s="138"/>
      <c r="D157" s="139"/>
      <c r="E157" s="117" t="s">
        <v>362</v>
      </c>
      <c r="F157" s="118"/>
      <c r="G157" s="133"/>
      <c r="H157" s="123"/>
      <c r="I157" s="120"/>
    </row>
    <row r="158">
      <c r="B158" s="137" t="s">
        <v>367</v>
      </c>
      <c r="C158" s="138"/>
      <c r="D158" s="139"/>
      <c r="E158" s="117" t="s">
        <v>222</v>
      </c>
      <c r="F158" s="118"/>
      <c r="G158" s="133"/>
      <c r="H158" s="123"/>
      <c r="I158" s="120"/>
    </row>
    <row r="159">
      <c r="B159" s="137" t="s">
        <v>368</v>
      </c>
      <c r="C159" s="138"/>
      <c r="D159" s="139"/>
      <c r="E159" s="117" t="s">
        <v>222</v>
      </c>
      <c r="F159" s="118"/>
      <c r="G159" s="133"/>
      <c r="H159" s="123"/>
      <c r="I159" s="120"/>
    </row>
    <row r="160">
      <c r="B160" s="126" t="s">
        <v>369</v>
      </c>
      <c r="C160" s="126"/>
      <c r="D160" s="126"/>
      <c r="E160" s="117" t="s">
        <v>222</v>
      </c>
      <c r="F160" s="118"/>
      <c r="G160" s="133"/>
      <c r="H160" s="123"/>
      <c r="I160" s="120"/>
    </row>
    <row r="161">
      <c r="B161" s="126" t="s">
        <v>370</v>
      </c>
      <c r="C161" s="126"/>
      <c r="D161" s="126"/>
      <c r="E161" s="117" t="s">
        <v>222</v>
      </c>
      <c r="F161" s="118"/>
      <c r="G161" s="133"/>
      <c r="H161" s="123"/>
      <c r="I161" s="120"/>
    </row>
    <row r="162">
      <c r="B162" s="126" t="s">
        <v>371</v>
      </c>
      <c r="C162" s="126"/>
      <c r="D162" s="126"/>
      <c r="E162" s="117" t="s">
        <v>222</v>
      </c>
      <c r="F162" s="118"/>
      <c r="G162" s="133"/>
      <c r="H162" s="123"/>
      <c r="I162" s="120"/>
    </row>
    <row r="163">
      <c r="B163" s="126" t="s">
        <v>372</v>
      </c>
      <c r="C163" s="126"/>
      <c r="D163" s="126"/>
      <c r="E163" s="117" t="s">
        <v>222</v>
      </c>
      <c r="F163" s="118"/>
      <c r="G163" s="133"/>
      <c r="H163" s="123"/>
      <c r="I163" s="120"/>
    </row>
    <row r="164">
      <c r="B164" s="126" t="s">
        <v>373</v>
      </c>
      <c r="C164" s="126"/>
      <c r="D164" s="126"/>
      <c r="E164" s="117" t="s">
        <v>222</v>
      </c>
      <c r="F164" s="118"/>
      <c r="G164" s="133"/>
      <c r="H164" s="123"/>
      <c r="I164" s="120"/>
    </row>
    <row r="165">
      <c r="B165" s="126" t="s">
        <v>374</v>
      </c>
      <c r="C165" s="126"/>
      <c r="D165" s="126"/>
      <c r="E165" s="117" t="s">
        <v>222</v>
      </c>
      <c r="F165" s="118"/>
      <c r="G165" s="133"/>
      <c r="H165" s="123"/>
      <c r="I165" s="120"/>
    </row>
    <row r="166">
      <c r="B166" s="126" t="s">
        <v>375</v>
      </c>
      <c r="C166" s="126"/>
      <c r="D166" s="126"/>
      <c r="E166" s="117" t="s">
        <v>222</v>
      </c>
      <c r="F166" s="118"/>
      <c r="G166" s="133"/>
      <c r="H166" s="123"/>
      <c r="I166" s="120"/>
    </row>
    <row r="167">
      <c r="B167" s="126" t="s">
        <v>376</v>
      </c>
      <c r="C167" s="126"/>
      <c r="D167" s="126"/>
      <c r="E167" s="117" t="s">
        <v>222</v>
      </c>
      <c r="F167" s="118"/>
      <c r="G167" s="133"/>
      <c r="H167" s="123"/>
      <c r="I167" s="120"/>
    </row>
    <row r="168">
      <c r="B168" s="126" t="s">
        <v>377</v>
      </c>
      <c r="C168" s="126"/>
      <c r="D168" s="126"/>
      <c r="E168" s="117" t="s">
        <v>222</v>
      </c>
      <c r="F168" s="118"/>
      <c r="G168" s="133"/>
      <c r="H168" s="123"/>
      <c r="I168" s="120"/>
    </row>
    <row r="169">
      <c r="B169" s="126" t="s">
        <v>378</v>
      </c>
      <c r="C169" s="126"/>
      <c r="D169" s="126"/>
      <c r="E169" s="117" t="s">
        <v>222</v>
      </c>
      <c r="F169" s="118"/>
      <c r="G169" s="133"/>
      <c r="H169" s="123"/>
      <c r="I169" s="120"/>
    </row>
    <row r="170">
      <c r="B170" s="126" t="s">
        <v>379</v>
      </c>
      <c r="C170" s="126"/>
      <c r="D170" s="126"/>
      <c r="E170" s="117" t="s">
        <v>222</v>
      </c>
      <c r="F170" s="118"/>
      <c r="G170" s="133"/>
      <c r="H170" s="123"/>
      <c r="I170" s="120"/>
    </row>
    <row r="171">
      <c r="B171" s="126" t="s">
        <v>380</v>
      </c>
      <c r="C171" s="126"/>
      <c r="D171" s="126"/>
      <c r="E171" s="117" t="s">
        <v>222</v>
      </c>
      <c r="F171" s="118"/>
      <c r="G171" s="133"/>
      <c r="H171" s="123"/>
      <c r="I171" s="120"/>
    </row>
    <row r="172">
      <c r="E172" s="2"/>
      <c r="F172" s="4"/>
      <c r="G172" s="109"/>
      <c r="H172" s="6"/>
      <c r="I172" s="110"/>
    </row>
    <row r="173">
      <c r="D173" s="103"/>
      <c r="E173" s="140"/>
      <c r="F173" s="141"/>
      <c r="G173" s="142"/>
      <c r="H173" s="141"/>
      <c r="I173" s="141"/>
    </row>
    <row r="174">
      <c r="D174" s="103"/>
      <c r="E174" s="103"/>
      <c r="F174" s="103"/>
      <c r="H174" s="143"/>
    </row>
    <row r="175">
      <c r="D175" s="103"/>
      <c r="E175" s="103"/>
      <c r="F175" s="103"/>
      <c r="H175" s="143"/>
    </row>
    <row r="176">
      <c r="D176" s="103"/>
      <c r="E176" s="103"/>
      <c r="F176" s="103"/>
      <c r="H176" s="143"/>
    </row>
    <row r="177">
      <c r="D177" s="103"/>
      <c r="E177" s="103"/>
      <c r="F177" s="103"/>
      <c r="H177" s="143"/>
    </row>
    <row r="178">
      <c r="D178" s="103"/>
      <c r="E178" s="140"/>
      <c r="F178" s="141"/>
      <c r="G178" s="144"/>
      <c r="H178" s="142"/>
    </row>
    <row r="179">
      <c r="D179" s="103"/>
      <c r="H179" s="143"/>
    </row>
    <row r="180">
      <c r="B180" s="1" t="s">
        <v>2</v>
      </c>
      <c r="D180" s="103"/>
      <c r="E180" s="140"/>
      <c r="F180" s="141"/>
      <c r="G180" s="144"/>
      <c r="H180" s="142"/>
    </row>
    <row r="181">
      <c r="E181" s="2"/>
      <c r="F181" s="4"/>
      <c r="G181" s="109"/>
      <c r="H181" s="6"/>
      <c r="I181" s="110"/>
    </row>
    <row r="182">
      <c r="E182" s="2"/>
      <c r="F182" s="4"/>
      <c r="G182" s="109"/>
      <c r="H182" s="6"/>
      <c r="I182" s="110"/>
    </row>
    <row r="183">
      <c r="E183" s="2"/>
      <c r="F183" s="4"/>
      <c r="G183" s="109"/>
      <c r="H183" s="6"/>
      <c r="I183" s="110"/>
    </row>
    <row r="184">
      <c r="E184" s="2"/>
      <c r="F184" s="4"/>
      <c r="G184" s="109"/>
      <c r="H184" s="6"/>
      <c r="I184" s="110"/>
    </row>
    <row r="185">
      <c r="E185" s="2"/>
      <c r="F185" s="4"/>
      <c r="G185" s="109"/>
      <c r="H185" s="6"/>
      <c r="I185" s="110"/>
    </row>
    <row r="186">
      <c r="E186" s="2"/>
      <c r="F186" s="4"/>
      <c r="G186" s="109"/>
      <c r="H186" s="6"/>
      <c r="I186" s="110"/>
    </row>
    <row r="187">
      <c r="E187" s="2"/>
      <c r="F187" s="4"/>
      <c r="G187" s="109"/>
      <c r="H187" s="6"/>
      <c r="I187" s="110"/>
    </row>
    <row r="188">
      <c r="E188" s="2"/>
      <c r="F188" s="4"/>
      <c r="G188" s="109"/>
      <c r="H188" s="6"/>
      <c r="I188" s="110"/>
    </row>
    <row r="189">
      <c r="E189" s="2"/>
      <c r="F189" s="4"/>
      <c r="G189" s="109"/>
      <c r="H189" s="6"/>
      <c r="I189" s="110"/>
    </row>
    <row r="190">
      <c r="E190" s="2"/>
      <c r="F190" s="4"/>
      <c r="G190" s="109"/>
      <c r="H190" s="6"/>
      <c r="I190" s="110"/>
    </row>
    <row r="191">
      <c r="E191" s="2"/>
      <c r="F191" s="4"/>
      <c r="G191" s="109"/>
      <c r="H191" s="6"/>
      <c r="I191" s="110"/>
    </row>
    <row r="192">
      <c r="E192" s="2"/>
      <c r="F192" s="4"/>
      <c r="G192" s="109"/>
      <c r="H192" s="6"/>
      <c r="I192" s="110"/>
    </row>
    <row r="193">
      <c r="E193" s="2"/>
      <c r="F193" s="4"/>
      <c r="G193" s="109"/>
      <c r="H193" s="6"/>
      <c r="I193" s="110"/>
    </row>
    <row r="194">
      <c r="E194" s="2"/>
      <c r="F194" s="4"/>
      <c r="G194" s="109"/>
      <c r="H194" s="6"/>
      <c r="I194" s="110"/>
    </row>
    <row r="195">
      <c r="E195" s="2"/>
      <c r="F195" s="4"/>
      <c r="G195" s="109"/>
      <c r="H195" s="6"/>
      <c r="I195" s="110"/>
    </row>
    <row r="196">
      <c r="E196" s="2"/>
      <c r="F196" s="4"/>
      <c r="G196" s="109"/>
      <c r="H196" s="6"/>
      <c r="I196" s="110"/>
    </row>
    <row r="197">
      <c r="E197" s="2"/>
      <c r="F197" s="4"/>
      <c r="G197" s="109"/>
      <c r="H197" s="6"/>
      <c r="I197" s="110"/>
    </row>
    <row r="198">
      <c r="E198" s="2"/>
      <c r="F198" s="4"/>
      <c r="G198" s="109"/>
      <c r="H198" s="6"/>
      <c r="I198" s="110"/>
    </row>
    <row r="199">
      <c r="E199" s="2"/>
      <c r="F199" s="4"/>
      <c r="G199" s="109"/>
      <c r="H199" s="6"/>
      <c r="I199" s="110"/>
    </row>
    <row r="200">
      <c r="E200" s="2"/>
      <c r="F200" s="4"/>
      <c r="G200" s="109"/>
      <c r="H200" s="6"/>
      <c r="I200" s="110"/>
    </row>
    <row r="201">
      <c r="E201" s="2"/>
      <c r="F201" s="4"/>
      <c r="G201" s="109"/>
      <c r="H201" s="6"/>
      <c r="I201" s="110"/>
    </row>
    <row r="202">
      <c r="E202" s="2"/>
      <c r="F202" s="4"/>
      <c r="G202" s="109"/>
      <c r="H202" s="6"/>
      <c r="I202" s="110"/>
    </row>
    <row r="203">
      <c r="E203" s="2"/>
      <c r="F203" s="4"/>
      <c r="G203" s="109"/>
      <c r="H203" s="6"/>
      <c r="I203" s="110"/>
    </row>
    <row r="204">
      <c r="E204" s="2"/>
      <c r="F204" s="4"/>
      <c r="G204" s="109"/>
      <c r="H204" s="6"/>
      <c r="I204" s="110"/>
    </row>
    <row r="205">
      <c r="E205" s="2"/>
      <c r="F205" s="4"/>
      <c r="G205" s="109"/>
      <c r="H205" s="6"/>
      <c r="I205" s="110"/>
    </row>
    <row r="206">
      <c r="E206" s="2"/>
      <c r="F206" s="4"/>
      <c r="G206" s="109"/>
      <c r="H206" s="6"/>
      <c r="I206" s="110"/>
    </row>
    <row r="207">
      <c r="E207" s="2"/>
      <c r="F207" s="4"/>
      <c r="G207" s="109"/>
      <c r="H207" s="6"/>
      <c r="I207" s="110"/>
    </row>
    <row r="208">
      <c r="E208" s="2"/>
      <c r="F208" s="4"/>
      <c r="G208" s="109"/>
      <c r="H208" s="6"/>
      <c r="I208" s="110"/>
    </row>
    <row r="209">
      <c r="E209" s="2"/>
      <c r="F209" s="4"/>
      <c r="G209" s="109"/>
      <c r="H209" s="6"/>
      <c r="I209" s="110"/>
    </row>
    <row r="210">
      <c r="E210" s="2"/>
      <c r="F210" s="4"/>
      <c r="G210" s="109"/>
      <c r="H210" s="6"/>
      <c r="I210" s="110"/>
    </row>
    <row r="211">
      <c r="E211" s="2"/>
      <c r="F211" s="4"/>
      <c r="G211" s="109"/>
      <c r="H211" s="6"/>
      <c r="I211" s="110"/>
    </row>
    <row r="212">
      <c r="E212" s="2"/>
      <c r="F212" s="4"/>
      <c r="G212" s="109"/>
      <c r="H212" s="6"/>
      <c r="I212" s="110"/>
    </row>
    <row r="213">
      <c r="E213" s="2"/>
      <c r="F213" s="4"/>
      <c r="G213" s="109"/>
      <c r="H213" s="6"/>
      <c r="I213" s="110"/>
    </row>
    <row r="214">
      <c r="E214" s="2"/>
      <c r="F214" s="4"/>
      <c r="G214" s="109"/>
      <c r="H214" s="6"/>
      <c r="I214" s="110"/>
    </row>
    <row r="215">
      <c r="E215" s="2"/>
      <c r="F215" s="4"/>
      <c r="G215" s="109"/>
      <c r="H215" s="6"/>
      <c r="I215" s="110"/>
    </row>
    <row r="216">
      <c r="E216" s="2"/>
      <c r="F216" s="4"/>
      <c r="G216" s="109"/>
      <c r="H216" s="6"/>
      <c r="I216" s="110"/>
    </row>
    <row r="217">
      <c r="E217" s="2"/>
      <c r="F217" s="4"/>
      <c r="G217" s="109"/>
      <c r="H217" s="6"/>
      <c r="I217" s="110"/>
    </row>
    <row r="218">
      <c r="E218" s="2"/>
      <c r="F218" s="4"/>
      <c r="G218" s="109"/>
      <c r="H218" s="6"/>
      <c r="I218" s="110"/>
    </row>
    <row r="219">
      <c r="E219" s="2"/>
      <c r="F219" s="4"/>
      <c r="G219" s="109"/>
      <c r="H219" s="6"/>
      <c r="I219" s="110"/>
    </row>
    <row r="220">
      <c r="E220" s="2"/>
      <c r="F220" s="4"/>
      <c r="G220" s="109"/>
      <c r="H220" s="6"/>
      <c r="I220" s="110"/>
    </row>
    <row r="221">
      <c r="E221" s="2"/>
      <c r="F221" s="4"/>
      <c r="G221" s="109"/>
      <c r="H221" s="6"/>
      <c r="I221" s="110"/>
    </row>
    <row r="222" s="1" customFormat="1">
      <c r="E222" s="2"/>
      <c r="F222" s="4"/>
      <c r="G222" s="109"/>
      <c r="H222" s="6"/>
      <c r="I222" s="110"/>
      <c r="W222" s="103"/>
    </row>
    <row r="223" s="1" customFormat="1">
      <c r="E223" s="2"/>
      <c r="F223" s="4"/>
      <c r="G223" s="109"/>
      <c r="H223" s="6"/>
      <c r="I223" s="110"/>
      <c r="W223" s="103"/>
    </row>
    <row r="224" s="1" customFormat="1">
      <c r="E224" s="2"/>
      <c r="F224" s="4"/>
      <c r="G224" s="109"/>
      <c r="H224" s="6"/>
      <c r="I224" s="110"/>
      <c r="W224" s="103"/>
    </row>
    <row r="225" s="1" customFormat="1">
      <c r="E225" s="2"/>
      <c r="F225" s="4"/>
      <c r="G225" s="109"/>
      <c r="H225" s="6"/>
      <c r="I225" s="110"/>
      <c r="W225" s="103"/>
    </row>
    <row r="226" s="1" customFormat="1">
      <c r="E226" s="2"/>
      <c r="F226" s="4"/>
      <c r="G226" s="109"/>
      <c r="H226" s="6"/>
      <c r="I226" s="110"/>
      <c r="W226" s="103"/>
    </row>
    <row r="227" s="1" customFormat="1">
      <c r="E227" s="2"/>
      <c r="F227" s="4"/>
      <c r="G227" s="109"/>
      <c r="H227" s="6"/>
      <c r="I227" s="110"/>
      <c r="W227" s="103"/>
    </row>
    <row r="228" s="1" customFormat="1">
      <c r="E228" s="2"/>
      <c r="F228" s="4"/>
      <c r="G228" s="109"/>
      <c r="H228" s="6"/>
      <c r="I228" s="110"/>
      <c r="W228" s="103"/>
    </row>
    <row r="229" s="1" customFormat="1">
      <c r="E229" s="2"/>
      <c r="F229" s="4"/>
      <c r="G229" s="109"/>
      <c r="H229" s="6"/>
      <c r="I229" s="110"/>
      <c r="W229" s="103"/>
    </row>
    <row r="230" s="1" customFormat="1">
      <c r="E230" s="2"/>
      <c r="F230" s="4"/>
      <c r="G230" s="109"/>
      <c r="H230" s="6"/>
      <c r="I230" s="110"/>
      <c r="W230" s="103"/>
    </row>
    <row r="231" s="1" customFormat="1">
      <c r="E231" s="2"/>
      <c r="F231" s="4"/>
      <c r="G231" s="109"/>
      <c r="H231" s="6"/>
      <c r="I231" s="110"/>
      <c r="W231" s="103"/>
    </row>
    <row r="232" s="1" customFormat="1">
      <c r="E232" s="2"/>
      <c r="F232" s="4"/>
      <c r="G232" s="109"/>
      <c r="H232" s="6"/>
      <c r="I232" s="110"/>
      <c r="W232" s="103"/>
    </row>
    <row r="233" s="1" customFormat="1">
      <c r="E233" s="2"/>
      <c r="F233" s="4"/>
      <c r="G233" s="109"/>
      <c r="H233" s="6"/>
      <c r="I233" s="110"/>
      <c r="W233" s="103"/>
    </row>
    <row r="234" s="1" customFormat="1">
      <c r="E234" s="2"/>
      <c r="F234" s="4"/>
      <c r="G234" s="109"/>
      <c r="H234" s="6"/>
      <c r="I234" s="110"/>
      <c r="W234" s="103"/>
    </row>
    <row r="235" s="1" customFormat="1">
      <c r="E235" s="2"/>
      <c r="F235" s="4"/>
      <c r="G235" s="109"/>
      <c r="H235" s="6"/>
      <c r="I235" s="110"/>
      <c r="W235" s="103"/>
    </row>
    <row r="236" s="1" customFormat="1">
      <c r="E236" s="2"/>
      <c r="F236" s="4"/>
      <c r="G236" s="109"/>
      <c r="H236" s="6"/>
      <c r="I236" s="110"/>
      <c r="W236" s="103"/>
    </row>
    <row r="237" s="1" customFormat="1">
      <c r="E237" s="2"/>
      <c r="F237" s="4"/>
      <c r="G237" s="109"/>
      <c r="H237" s="6"/>
      <c r="I237" s="110"/>
      <c r="W237" s="103"/>
    </row>
    <row r="238" s="1" customFormat="1">
      <c r="E238" s="2"/>
      <c r="F238" s="4"/>
      <c r="G238" s="109"/>
      <c r="H238" s="6"/>
      <c r="I238" s="110"/>
      <c r="W238" s="103"/>
    </row>
    <row r="239" s="1" customFormat="1">
      <c r="E239" s="2"/>
      <c r="F239" s="4"/>
      <c r="G239" s="109"/>
      <c r="H239" s="6"/>
      <c r="I239" s="110"/>
      <c r="W239" s="103"/>
    </row>
    <row r="240" s="1" customFormat="1">
      <c r="E240" s="2"/>
      <c r="F240" s="4"/>
      <c r="G240" s="109"/>
      <c r="H240" s="6"/>
      <c r="I240" s="110"/>
      <c r="W240" s="103"/>
    </row>
    <row r="241" s="1" customFormat="1">
      <c r="E241" s="2"/>
      <c r="F241" s="4"/>
      <c r="G241" s="109"/>
      <c r="H241" s="6"/>
      <c r="I241" s="110"/>
      <c r="W241" s="103"/>
    </row>
    <row r="242" s="1" customFormat="1">
      <c r="E242" s="2"/>
      <c r="F242" s="4"/>
      <c r="G242" s="109"/>
      <c r="H242" s="6"/>
      <c r="I242" s="110"/>
      <c r="W242" s="103"/>
    </row>
    <row r="243" s="1" customFormat="1">
      <c r="E243" s="2"/>
      <c r="F243" s="4"/>
      <c r="G243" s="109"/>
      <c r="H243" s="6"/>
      <c r="I243" s="110"/>
      <c r="W243" s="103"/>
    </row>
    <row r="244" s="1" customFormat="1">
      <c r="E244" s="2"/>
      <c r="F244" s="4"/>
      <c r="G244" s="109"/>
      <c r="H244" s="6"/>
      <c r="I244" s="110"/>
      <c r="W244" s="103"/>
    </row>
    <row r="245" s="1" customFormat="1">
      <c r="E245" s="2"/>
      <c r="F245" s="4"/>
      <c r="G245" s="109"/>
      <c r="H245" s="6"/>
      <c r="I245" s="110"/>
      <c r="W245" s="103"/>
    </row>
    <row r="246" s="1" customFormat="1">
      <c r="E246" s="2"/>
      <c r="F246" s="4"/>
      <c r="G246" s="109"/>
      <c r="H246" s="6"/>
      <c r="I246" s="110"/>
      <c r="W246" s="103"/>
    </row>
    <row r="247" s="1" customFormat="1">
      <c r="E247" s="2"/>
      <c r="F247" s="4"/>
      <c r="G247" s="109"/>
      <c r="H247" s="6"/>
      <c r="I247" s="110"/>
      <c r="W247" s="103"/>
    </row>
    <row r="248" s="1" customFormat="1">
      <c r="E248" s="2"/>
      <c r="F248" s="4"/>
      <c r="G248" s="109"/>
      <c r="H248" s="6"/>
      <c r="I248" s="110"/>
      <c r="W248" s="103"/>
    </row>
    <row r="249" s="1" customFormat="1">
      <c r="E249" s="2"/>
      <c r="F249" s="4"/>
      <c r="G249" s="109"/>
      <c r="H249" s="6"/>
      <c r="I249" s="110"/>
      <c r="W249" s="103"/>
    </row>
    <row r="250" s="1" customFormat="1">
      <c r="E250" s="2"/>
      <c r="F250" s="4"/>
      <c r="G250" s="109"/>
      <c r="H250" s="6"/>
      <c r="I250" s="110"/>
      <c r="W250" s="103"/>
    </row>
    <row r="251" s="1" customFormat="1">
      <c r="E251" s="2"/>
      <c r="F251" s="4"/>
      <c r="G251" s="109"/>
      <c r="H251" s="6"/>
      <c r="I251" s="110"/>
      <c r="W251" s="103"/>
    </row>
    <row r="252" s="1" customFormat="1">
      <c r="E252" s="2"/>
      <c r="F252" s="4"/>
      <c r="G252" s="109"/>
      <c r="H252" s="6"/>
      <c r="I252" s="110"/>
      <c r="W252" s="103"/>
    </row>
    <row r="253" s="1" customFormat="1">
      <c r="E253" s="2"/>
      <c r="F253" s="4"/>
      <c r="G253" s="109"/>
      <c r="H253" s="6"/>
      <c r="I253" s="110"/>
      <c r="W253" s="103"/>
    </row>
    <row r="254" s="1" customFormat="1">
      <c r="E254" s="2"/>
      <c r="F254" s="4"/>
      <c r="G254" s="109"/>
      <c r="H254" s="6"/>
      <c r="I254" s="110"/>
      <c r="W254" s="103"/>
    </row>
    <row r="255" s="1" customFormat="1">
      <c r="E255" s="2"/>
      <c r="F255" s="4"/>
      <c r="G255" s="109"/>
      <c r="H255" s="6"/>
      <c r="I255" s="110"/>
      <c r="W255" s="103"/>
    </row>
    <row r="256" s="1" customFormat="1">
      <c r="E256" s="2"/>
      <c r="F256" s="4"/>
      <c r="G256" s="109"/>
      <c r="H256" s="6"/>
      <c r="I256" s="110"/>
      <c r="W256" s="103"/>
    </row>
    <row r="257" s="1" customFormat="1">
      <c r="E257" s="2"/>
      <c r="F257" s="4"/>
      <c r="G257" s="109"/>
      <c r="H257" s="6"/>
      <c r="I257" s="110"/>
      <c r="W257" s="103"/>
    </row>
    <row r="258" s="1" customFormat="1">
      <c r="E258" s="2"/>
      <c r="F258" s="4"/>
      <c r="G258" s="109"/>
      <c r="H258" s="6"/>
      <c r="I258" s="110"/>
      <c r="W258" s="103"/>
    </row>
    <row r="259" s="1" customFormat="1">
      <c r="E259" s="2"/>
      <c r="F259" s="4"/>
      <c r="G259" s="109"/>
      <c r="H259" s="6"/>
      <c r="I259" s="110"/>
      <c r="W259" s="103"/>
    </row>
    <row r="260" s="1" customFormat="1">
      <c r="E260" s="2"/>
      <c r="F260" s="4"/>
      <c r="G260" s="109"/>
      <c r="H260" s="6"/>
      <c r="I260" s="110"/>
      <c r="W260" s="103"/>
    </row>
    <row r="261" s="1" customFormat="1">
      <c r="E261" s="2"/>
      <c r="F261" s="4"/>
      <c r="G261" s="109"/>
      <c r="H261" s="6"/>
      <c r="I261" s="110"/>
      <c r="W261" s="103"/>
    </row>
    <row r="262" s="1" customFormat="1">
      <c r="E262" s="2"/>
      <c r="F262" s="4"/>
      <c r="G262" s="109"/>
      <c r="H262" s="6"/>
      <c r="I262" s="110"/>
      <c r="W262" s="103"/>
    </row>
    <row r="263" s="1" customFormat="1">
      <c r="E263" s="2"/>
      <c r="F263" s="4"/>
      <c r="G263" s="109"/>
      <c r="H263" s="6"/>
      <c r="I263" s="110"/>
      <c r="W263" s="103"/>
    </row>
    <row r="264" s="1" customFormat="1">
      <c r="E264" s="2"/>
      <c r="F264" s="4"/>
      <c r="G264" s="109"/>
      <c r="H264" s="6"/>
      <c r="I264" s="110"/>
      <c r="W264" s="103"/>
    </row>
    <row r="265" s="1" customFormat="1">
      <c r="E265" s="2"/>
      <c r="F265" s="4"/>
      <c r="G265" s="109"/>
      <c r="H265" s="6"/>
      <c r="I265" s="110"/>
      <c r="W265" s="103"/>
    </row>
    <row r="266" s="1" customFormat="1">
      <c r="E266" s="2"/>
      <c r="F266" s="4"/>
      <c r="G266" s="109"/>
      <c r="H266" s="6"/>
      <c r="I266" s="110"/>
      <c r="W266" s="103"/>
    </row>
    <row r="267" s="1" customFormat="1">
      <c r="E267" s="2"/>
      <c r="F267" s="4"/>
      <c r="G267" s="109"/>
      <c r="H267" s="6"/>
      <c r="I267" s="110"/>
      <c r="W267" s="103"/>
    </row>
    <row r="268" s="1" customFormat="1">
      <c r="E268" s="2"/>
      <c r="F268" s="4"/>
      <c r="G268" s="109"/>
      <c r="H268" s="6"/>
      <c r="I268" s="110"/>
      <c r="W268" s="103"/>
    </row>
    <row r="269" s="1" customFormat="1">
      <c r="E269" s="2"/>
      <c r="F269" s="4"/>
      <c r="G269" s="109"/>
      <c r="H269" s="6"/>
      <c r="I269" s="110"/>
      <c r="W269" s="103"/>
    </row>
    <row r="270" s="1" customFormat="1">
      <c r="E270" s="2"/>
      <c r="F270" s="4"/>
      <c r="G270" s="109"/>
      <c r="H270" s="6"/>
      <c r="I270" s="110"/>
      <c r="W270" s="103"/>
    </row>
    <row r="271" s="1" customFormat="1">
      <c r="E271" s="2"/>
      <c r="F271" s="4"/>
      <c r="G271" s="109"/>
      <c r="H271" s="6"/>
      <c r="I271" s="110"/>
      <c r="W271" s="103"/>
    </row>
    <row r="272" s="1" customFormat="1">
      <c r="E272" s="2"/>
      <c r="F272" s="4"/>
      <c r="G272" s="109"/>
      <c r="H272" s="6"/>
      <c r="I272" s="110"/>
      <c r="W272" s="103"/>
    </row>
    <row r="273" s="1" customFormat="1">
      <c r="E273" s="2"/>
      <c r="F273" s="4"/>
      <c r="G273" s="109"/>
      <c r="H273" s="6"/>
      <c r="I273" s="110"/>
      <c r="W273" s="103"/>
    </row>
    <row r="274" s="1" customFormat="1">
      <c r="E274" s="2"/>
      <c r="F274" s="4"/>
      <c r="G274" s="109"/>
      <c r="H274" s="6"/>
      <c r="I274" s="110"/>
      <c r="W274" s="103"/>
    </row>
    <row r="275" s="1" customFormat="1">
      <c r="E275" s="2"/>
      <c r="F275" s="4"/>
      <c r="G275" s="109"/>
      <c r="H275" s="6"/>
      <c r="I275" s="110"/>
      <c r="W275" s="103"/>
    </row>
    <row r="276" s="1" customFormat="1">
      <c r="E276" s="2"/>
      <c r="F276" s="4"/>
      <c r="G276" s="109"/>
      <c r="H276" s="6"/>
      <c r="I276" s="110"/>
      <c r="W276" s="103"/>
    </row>
    <row r="277" s="1" customFormat="1">
      <c r="E277" s="2"/>
      <c r="F277" s="4"/>
      <c r="G277" s="109"/>
      <c r="H277" s="6"/>
      <c r="I277" s="110"/>
      <c r="W277" s="103"/>
    </row>
    <row r="278" s="1" customFormat="1">
      <c r="E278" s="2"/>
      <c r="F278" s="4"/>
      <c r="G278" s="109"/>
      <c r="H278" s="6"/>
      <c r="I278" s="110"/>
      <c r="W278" s="103"/>
    </row>
    <row r="279" s="1" customFormat="1">
      <c r="E279" s="2"/>
      <c r="F279" s="4"/>
      <c r="G279" s="109"/>
      <c r="H279" s="6"/>
      <c r="I279" s="110"/>
      <c r="W279" s="103"/>
    </row>
    <row r="280" s="1" customFormat="1">
      <c r="E280" s="2"/>
      <c r="F280" s="4"/>
      <c r="G280" s="109"/>
      <c r="H280" s="6"/>
      <c r="I280" s="110"/>
      <c r="W280" s="103"/>
    </row>
    <row r="281" s="1" customFormat="1">
      <c r="E281" s="2"/>
      <c r="F281" s="4"/>
      <c r="G281" s="109"/>
      <c r="H281" s="6"/>
      <c r="I281" s="110"/>
      <c r="W281" s="103"/>
    </row>
    <row r="282" s="1" customFormat="1">
      <c r="E282" s="2"/>
      <c r="F282" s="4"/>
      <c r="G282" s="109"/>
      <c r="H282" s="6"/>
      <c r="I282" s="110"/>
      <c r="W282" s="103"/>
    </row>
    <row r="283" s="1" customFormat="1">
      <c r="E283" s="2"/>
      <c r="F283" s="4"/>
      <c r="G283" s="109"/>
      <c r="H283" s="6"/>
      <c r="I283" s="110"/>
      <c r="W283" s="103"/>
    </row>
    <row r="284" s="1" customFormat="1">
      <c r="E284" s="2"/>
      <c r="F284" s="4"/>
      <c r="G284" s="109"/>
      <c r="H284" s="6"/>
      <c r="I284" s="110"/>
      <c r="W284" s="103"/>
    </row>
    <row r="285" s="1" customFormat="1">
      <c r="E285" s="2"/>
      <c r="F285" s="4"/>
      <c r="G285" s="109"/>
      <c r="H285" s="6"/>
      <c r="I285" s="110"/>
      <c r="W285" s="103"/>
    </row>
    <row r="286" s="1" customFormat="1">
      <c r="E286" s="2"/>
      <c r="F286" s="4"/>
      <c r="G286" s="109"/>
      <c r="H286" s="6"/>
      <c r="I286" s="110"/>
      <c r="W286" s="103"/>
    </row>
    <row r="287" s="1" customFormat="1">
      <c r="E287" s="2"/>
      <c r="F287" s="4"/>
      <c r="G287" s="109"/>
      <c r="H287" s="6"/>
      <c r="I287" s="110"/>
      <c r="W287" s="103"/>
    </row>
    <row r="288" s="1" customFormat="1">
      <c r="E288" s="2"/>
      <c r="F288" s="4"/>
      <c r="G288" s="109"/>
      <c r="H288" s="6"/>
      <c r="I288" s="110"/>
      <c r="W288" s="103"/>
    </row>
    <row r="289" s="1" customFormat="1">
      <c r="E289" s="2"/>
      <c r="F289" s="4"/>
      <c r="G289" s="109"/>
      <c r="H289" s="6"/>
      <c r="I289" s="110"/>
      <c r="W289" s="103"/>
    </row>
    <row r="290" s="1" customFormat="1">
      <c r="E290" s="2"/>
      <c r="F290" s="4"/>
      <c r="G290" s="109"/>
      <c r="H290" s="6"/>
      <c r="I290" s="110"/>
      <c r="W290" s="103"/>
    </row>
    <row r="291" s="1" customFormat="1">
      <c r="E291" s="2"/>
      <c r="F291" s="4"/>
      <c r="G291" s="109"/>
      <c r="H291" s="6"/>
      <c r="I291" s="110"/>
      <c r="W291" s="103"/>
    </row>
    <row r="292" s="1" customFormat="1">
      <c r="E292" s="2"/>
      <c r="F292" s="4"/>
      <c r="G292" s="109"/>
      <c r="H292" s="6"/>
      <c r="I292" s="110"/>
      <c r="W292" s="103"/>
    </row>
    <row r="293" s="1" customFormat="1">
      <c r="E293" s="2"/>
      <c r="F293" s="4"/>
      <c r="G293" s="109"/>
      <c r="H293" s="6"/>
      <c r="I293" s="110"/>
      <c r="W293" s="103"/>
    </row>
    <row r="294" s="1" customFormat="1">
      <c r="E294" s="2"/>
      <c r="F294" s="4"/>
      <c r="G294" s="109"/>
      <c r="H294" s="6"/>
      <c r="I294" s="110"/>
      <c r="W294" s="103"/>
    </row>
    <row r="295" s="1" customFormat="1">
      <c r="E295" s="2"/>
      <c r="F295" s="4"/>
      <c r="G295" s="109"/>
      <c r="H295" s="6"/>
      <c r="I295" s="110"/>
      <c r="W295" s="103"/>
    </row>
    <row r="296" s="1" customFormat="1">
      <c r="E296" s="2"/>
      <c r="F296" s="4"/>
      <c r="G296" s="109"/>
      <c r="H296" s="6"/>
      <c r="I296" s="110"/>
      <c r="W296" s="103"/>
    </row>
    <row r="297" s="1" customFormat="1">
      <c r="E297" s="2"/>
      <c r="F297" s="4"/>
      <c r="G297" s="109"/>
      <c r="H297" s="6"/>
      <c r="I297" s="110"/>
      <c r="W297" s="103"/>
    </row>
    <row r="298" s="1" customFormat="1">
      <c r="E298" s="2"/>
      <c r="F298" s="4"/>
      <c r="G298" s="109"/>
      <c r="H298" s="6"/>
      <c r="I298" s="110"/>
      <c r="W298" s="103"/>
    </row>
    <row r="299" s="1" customFormat="1">
      <c r="E299" s="2"/>
      <c r="F299" s="4"/>
      <c r="G299" s="109"/>
      <c r="H299" s="6"/>
      <c r="I299" s="110"/>
      <c r="W299" s="103"/>
    </row>
    <row r="300" s="1" customFormat="1">
      <c r="E300" s="2"/>
      <c r="F300" s="4"/>
      <c r="G300" s="109"/>
      <c r="H300" s="6"/>
      <c r="I300" s="110"/>
      <c r="W300" s="103"/>
    </row>
    <row r="301" s="1" customFormat="1">
      <c r="E301" s="2"/>
      <c r="F301" s="4"/>
      <c r="G301" s="109"/>
      <c r="H301" s="6"/>
      <c r="I301" s="110"/>
      <c r="W301" s="103"/>
    </row>
    <row r="302" s="1" customFormat="1">
      <c r="E302" s="2"/>
      <c r="F302" s="4"/>
      <c r="G302" s="109"/>
      <c r="H302" s="6"/>
      <c r="I302" s="110"/>
      <c r="W302" s="103"/>
    </row>
    <row r="303" s="1" customFormat="1">
      <c r="E303" s="2"/>
      <c r="F303" s="4"/>
      <c r="G303" s="109"/>
      <c r="H303" s="6"/>
      <c r="I303" s="110"/>
      <c r="W303" s="103"/>
    </row>
    <row r="304" s="1" customFormat="1">
      <c r="E304" s="2"/>
      <c r="F304" s="4"/>
      <c r="G304" s="109"/>
      <c r="H304" s="6"/>
      <c r="I304" s="110"/>
      <c r="W304" s="103"/>
    </row>
    <row r="305" s="1" customFormat="1">
      <c r="E305" s="2"/>
      <c r="F305" s="4"/>
      <c r="G305" s="109"/>
      <c r="H305" s="6"/>
      <c r="I305" s="110"/>
      <c r="W305" s="103"/>
    </row>
    <row r="306" s="1" customFormat="1">
      <c r="E306" s="2"/>
      <c r="F306" s="4"/>
      <c r="G306" s="109"/>
      <c r="H306" s="6"/>
      <c r="I306" s="110"/>
      <c r="W306" s="103"/>
    </row>
    <row r="307" s="1" customFormat="1">
      <c r="E307" s="2"/>
      <c r="F307" s="4"/>
      <c r="G307" s="109"/>
      <c r="H307" s="6"/>
      <c r="I307" s="110"/>
      <c r="W307" s="103"/>
    </row>
    <row r="308" s="1" customFormat="1">
      <c r="E308" s="2"/>
      <c r="F308" s="4"/>
      <c r="G308" s="109"/>
      <c r="H308" s="6"/>
      <c r="I308" s="110"/>
      <c r="W308" s="103"/>
    </row>
    <row r="309" s="1" customFormat="1">
      <c r="E309" s="2"/>
      <c r="F309" s="4"/>
      <c r="G309" s="109"/>
      <c r="H309" s="6"/>
      <c r="I309" s="110"/>
      <c r="W309" s="103"/>
    </row>
    <row r="310" s="1" customFormat="1">
      <c r="E310" s="2"/>
      <c r="F310" s="4"/>
      <c r="G310" s="109"/>
      <c r="H310" s="6"/>
      <c r="I310" s="110"/>
      <c r="W310" s="103"/>
    </row>
    <row r="311" s="1" customFormat="1">
      <c r="E311" s="2"/>
      <c r="F311" s="4"/>
      <c r="G311" s="109"/>
      <c r="H311" s="6"/>
      <c r="I311" s="110"/>
      <c r="W311" s="103"/>
    </row>
    <row r="312" s="1" customFormat="1">
      <c r="E312" s="2"/>
      <c r="F312" s="4"/>
      <c r="G312" s="109"/>
      <c r="H312" s="6"/>
      <c r="I312" s="110"/>
      <c r="W312" s="103"/>
    </row>
    <row r="313" s="1" customFormat="1">
      <c r="E313" s="2"/>
      <c r="F313" s="4"/>
      <c r="G313" s="109"/>
      <c r="H313" s="6"/>
      <c r="I313" s="110"/>
      <c r="W313" s="103"/>
    </row>
    <row r="314" s="1" customFormat="1">
      <c r="E314" s="2"/>
      <c r="F314" s="4"/>
      <c r="G314" s="109"/>
      <c r="H314" s="6"/>
      <c r="I314" s="110"/>
      <c r="W314" s="103"/>
    </row>
    <row r="315" s="1" customFormat="1">
      <c r="E315" s="2"/>
      <c r="F315" s="4"/>
      <c r="G315" s="109"/>
      <c r="H315" s="6"/>
      <c r="I315" s="110"/>
      <c r="W315" s="103"/>
    </row>
    <row r="316" s="1" customFormat="1">
      <c r="E316" s="2"/>
      <c r="F316" s="4"/>
      <c r="G316" s="109"/>
      <c r="H316" s="6"/>
      <c r="I316" s="110"/>
      <c r="W316" s="103"/>
    </row>
    <row r="317" s="1" customFormat="1">
      <c r="E317" s="2"/>
      <c r="F317" s="4"/>
      <c r="G317" s="109"/>
      <c r="H317" s="6"/>
      <c r="I317" s="110"/>
      <c r="W317" s="103"/>
    </row>
    <row r="318" s="1" customFormat="1">
      <c r="E318" s="2"/>
      <c r="F318" s="4"/>
      <c r="G318" s="109"/>
      <c r="H318" s="6"/>
      <c r="I318" s="110"/>
      <c r="W318" s="103"/>
    </row>
    <row r="319" s="1" customFormat="1">
      <c r="E319" s="2"/>
      <c r="F319" s="4"/>
      <c r="G319" s="109"/>
      <c r="H319" s="6"/>
      <c r="I319" s="110"/>
      <c r="W319" s="103"/>
    </row>
    <row r="320" s="1" customFormat="1">
      <c r="E320" s="2"/>
      <c r="F320" s="4"/>
      <c r="G320" s="109"/>
      <c r="H320" s="6"/>
      <c r="I320" s="110"/>
      <c r="W320" s="103"/>
    </row>
    <row r="321" s="1" customFormat="1">
      <c r="E321" s="2"/>
      <c r="F321" s="4"/>
      <c r="G321" s="109"/>
      <c r="H321" s="6"/>
      <c r="I321" s="110"/>
      <c r="W321" s="103"/>
    </row>
    <row r="322" s="1" customFormat="1">
      <c r="E322" s="2"/>
      <c r="F322" s="4"/>
      <c r="G322" s="109"/>
      <c r="H322" s="6"/>
      <c r="I322" s="110"/>
      <c r="W322" s="103"/>
    </row>
    <row r="323" s="1" customFormat="1">
      <c r="E323" s="2"/>
      <c r="F323" s="4"/>
      <c r="G323" s="109"/>
      <c r="H323" s="6"/>
      <c r="I323" s="110"/>
      <c r="W323" s="103"/>
    </row>
    <row r="324" s="1" customFormat="1">
      <c r="E324" s="2"/>
      <c r="F324" s="4"/>
      <c r="G324" s="109"/>
      <c r="H324" s="6"/>
      <c r="I324" s="110"/>
      <c r="W324" s="103"/>
    </row>
    <row r="325" s="1" customFormat="1">
      <c r="E325" s="2"/>
      <c r="F325" s="4"/>
      <c r="G325" s="109"/>
      <c r="H325" s="6"/>
      <c r="I325" s="110"/>
      <c r="W325" s="103"/>
    </row>
    <row r="326" s="1" customFormat="1">
      <c r="E326" s="2"/>
      <c r="F326" s="4"/>
      <c r="G326" s="109"/>
      <c r="H326" s="6"/>
      <c r="I326" s="110"/>
      <c r="W326" s="103"/>
    </row>
    <row r="327" s="1" customFormat="1">
      <c r="E327" s="2"/>
      <c r="F327" s="4"/>
      <c r="G327" s="109"/>
      <c r="H327" s="6"/>
      <c r="I327" s="110"/>
      <c r="W327" s="103"/>
    </row>
    <row r="328" s="1" customFormat="1">
      <c r="E328" s="2"/>
      <c r="F328" s="4"/>
      <c r="G328" s="109"/>
      <c r="H328" s="6"/>
      <c r="I328" s="110"/>
      <c r="W328" s="103"/>
    </row>
    <row r="329" s="1" customFormat="1">
      <c r="E329" s="2"/>
      <c r="F329" s="4"/>
      <c r="G329" s="109"/>
      <c r="H329" s="6"/>
      <c r="I329" s="110"/>
      <c r="W329" s="103"/>
    </row>
    <row r="330" s="1" customFormat="1">
      <c r="E330" s="2"/>
      <c r="F330" s="4"/>
      <c r="G330" s="109"/>
      <c r="H330" s="6"/>
      <c r="I330" s="110"/>
      <c r="W330" s="103"/>
    </row>
    <row r="331" s="1" customFormat="1">
      <c r="E331" s="2"/>
      <c r="F331" s="4"/>
      <c r="G331" s="109"/>
      <c r="H331" s="6"/>
      <c r="I331" s="110"/>
      <c r="W331" s="103"/>
    </row>
    <row r="332" s="1" customFormat="1">
      <c r="E332" s="2"/>
      <c r="F332" s="4"/>
      <c r="G332" s="109"/>
      <c r="H332" s="6"/>
      <c r="I332" s="110"/>
      <c r="W332" s="103"/>
    </row>
    <row r="333" s="1" customFormat="1">
      <c r="E333" s="2"/>
      <c r="F333" s="4"/>
      <c r="G333" s="109"/>
      <c r="H333" s="6"/>
      <c r="I333" s="110"/>
      <c r="W333" s="103"/>
    </row>
    <row r="334" s="1" customFormat="1">
      <c r="E334" s="2"/>
      <c r="F334" s="4"/>
      <c r="G334" s="109"/>
      <c r="H334" s="6"/>
      <c r="I334" s="110"/>
      <c r="W334" s="103"/>
    </row>
    <row r="335" s="1" customFormat="1">
      <c r="E335" s="2"/>
      <c r="F335" s="4"/>
      <c r="G335" s="109"/>
      <c r="H335" s="6"/>
      <c r="I335" s="110"/>
      <c r="W335" s="103"/>
    </row>
    <row r="336" s="1" customFormat="1">
      <c r="E336" s="2"/>
      <c r="F336" s="4"/>
      <c r="G336" s="109"/>
      <c r="H336" s="6"/>
      <c r="I336" s="110"/>
      <c r="W336" s="103"/>
    </row>
    <row r="337" s="1" customFormat="1">
      <c r="E337" s="2"/>
      <c r="F337" s="4"/>
      <c r="G337" s="109"/>
      <c r="H337" s="6"/>
      <c r="I337" s="110"/>
      <c r="W337" s="103"/>
    </row>
    <row r="338" s="1" customFormat="1">
      <c r="E338" s="2"/>
      <c r="F338" s="4"/>
      <c r="G338" s="109"/>
      <c r="H338" s="6"/>
      <c r="I338" s="110"/>
      <c r="W338" s="103"/>
    </row>
    <row r="339" s="1" customFormat="1">
      <c r="E339" s="2"/>
      <c r="F339" s="4"/>
      <c r="G339" s="109"/>
      <c r="H339" s="6"/>
      <c r="I339" s="110"/>
      <c r="W339" s="103"/>
    </row>
    <row r="340" s="1" customFormat="1">
      <c r="E340" s="2"/>
      <c r="F340" s="4"/>
      <c r="G340" s="109"/>
      <c r="H340" s="6"/>
      <c r="I340" s="110"/>
      <c r="W340" s="103"/>
    </row>
    <row r="341" s="1" customFormat="1">
      <c r="E341" s="2"/>
      <c r="F341" s="4"/>
      <c r="G341" s="109"/>
      <c r="H341" s="6"/>
      <c r="I341" s="110"/>
      <c r="W341" s="103"/>
    </row>
    <row r="342" s="1" customFormat="1">
      <c r="E342" s="2"/>
      <c r="F342" s="4"/>
      <c r="G342" s="109"/>
      <c r="H342" s="6"/>
      <c r="I342" s="110"/>
      <c r="W342" s="103"/>
    </row>
    <row r="343" s="1" customFormat="1">
      <c r="E343" s="2"/>
      <c r="F343" s="4"/>
      <c r="G343" s="109"/>
      <c r="H343" s="6"/>
      <c r="I343" s="110"/>
      <c r="W343" s="103"/>
    </row>
    <row r="344" s="1" customFormat="1">
      <c r="E344" s="2"/>
      <c r="F344" s="4"/>
      <c r="G344" s="109"/>
      <c r="H344" s="6"/>
      <c r="I344" s="110"/>
      <c r="W344" s="103"/>
    </row>
    <row r="345" s="1" customFormat="1">
      <c r="E345" s="2"/>
      <c r="F345" s="4"/>
      <c r="G345" s="109"/>
      <c r="H345" s="6"/>
      <c r="I345" s="110"/>
      <c r="W345" s="103"/>
    </row>
    <row r="346" s="1" customFormat="1">
      <c r="E346" s="2"/>
      <c r="F346" s="4"/>
      <c r="G346" s="109"/>
      <c r="H346" s="6"/>
      <c r="I346" s="110"/>
      <c r="W346" s="103"/>
    </row>
    <row r="347" s="1" customFormat="1">
      <c r="E347" s="2"/>
      <c r="F347" s="4"/>
      <c r="G347" s="109"/>
      <c r="H347" s="6"/>
      <c r="I347" s="110"/>
      <c r="W347" s="103"/>
    </row>
    <row r="348" s="1" customFormat="1">
      <c r="E348" s="2"/>
      <c r="F348" s="4"/>
      <c r="G348" s="109"/>
      <c r="H348" s="6"/>
      <c r="I348" s="110"/>
      <c r="W348" s="103"/>
    </row>
    <row r="349" s="1" customFormat="1">
      <c r="E349" s="2"/>
      <c r="F349" s="4"/>
      <c r="G349" s="109"/>
      <c r="H349" s="6"/>
      <c r="I349" s="110"/>
      <c r="W349" s="103"/>
    </row>
    <row r="350" s="1" customFormat="1">
      <c r="E350" s="2"/>
      <c r="F350" s="4"/>
      <c r="G350" s="109"/>
      <c r="H350" s="6"/>
      <c r="I350" s="110"/>
      <c r="W350" s="103"/>
    </row>
    <row r="351">
      <c r="E351" s="2"/>
      <c r="F351" s="4"/>
      <c r="G351" s="109"/>
    </row>
    <row r="352">
      <c r="E352" s="2"/>
      <c r="F352" s="4"/>
      <c r="G352" s="109"/>
    </row>
    <row r="353">
      <c r="E353" s="2"/>
      <c r="F353" s="4"/>
      <c r="G353" s="109"/>
    </row>
    <row r="354">
      <c r="E354" s="2"/>
      <c r="F354" s="4"/>
      <c r="G354" s="109"/>
    </row>
    <row r="355">
      <c r="E355" s="2"/>
      <c r="F355" s="4"/>
      <c r="G355" s="109"/>
    </row>
    <row r="356">
      <c r="E356" s="2"/>
      <c r="F356" s="4"/>
      <c r="G356" s="109"/>
    </row>
    <row r="357">
      <c r="E357" s="2"/>
      <c r="F357" s="4"/>
      <c r="G357" s="109"/>
    </row>
    <row r="358">
      <c r="E358" s="2"/>
      <c r="F358" s="4"/>
      <c r="G358" s="109"/>
    </row>
    <row r="359">
      <c r="E359" s="2"/>
      <c r="F359" s="4"/>
      <c r="G359" s="109"/>
    </row>
    <row r="360">
      <c r="E360" s="2"/>
      <c r="F360" s="4"/>
      <c r="G360" s="109"/>
    </row>
    <row r="361">
      <c r="E361" s="2"/>
      <c r="F361" s="4"/>
      <c r="G361" s="109"/>
    </row>
    <row r="362">
      <c r="E362" s="2"/>
      <c r="F362" s="4"/>
      <c r="G362" s="109"/>
    </row>
    <row r="363">
      <c r="E363" s="2"/>
      <c r="F363" s="4"/>
      <c r="G363" s="109"/>
    </row>
    <row r="364">
      <c r="E364" s="2"/>
      <c r="F364" s="4"/>
      <c r="G364" s="109"/>
    </row>
    <row r="365">
      <c r="E365" s="2"/>
      <c r="F365" s="4"/>
      <c r="G365" s="109"/>
    </row>
    <row r="366">
      <c r="E366" s="2"/>
      <c r="F366" s="4"/>
      <c r="G366" s="109"/>
    </row>
    <row r="367">
      <c r="E367" s="2"/>
      <c r="F367" s="4"/>
      <c r="G367" s="109"/>
    </row>
    <row r="368">
      <c r="E368" s="2"/>
      <c r="F368" s="4"/>
      <c r="G368" s="109"/>
    </row>
    <row r="369">
      <c r="E369" s="2"/>
      <c r="F369" s="4"/>
      <c r="G369" s="109"/>
    </row>
    <row r="370">
      <c r="E370" s="2"/>
      <c r="F370" s="4"/>
      <c r="G370" s="109"/>
    </row>
    <row r="371">
      <c r="E371" s="2"/>
      <c r="F371" s="4"/>
      <c r="G371" s="109"/>
    </row>
    <row r="372">
      <c r="E372" s="2"/>
      <c r="F372" s="4"/>
      <c r="G372" s="109"/>
    </row>
    <row r="373">
      <c r="E373" s="2"/>
      <c r="F373" s="4"/>
      <c r="G373" s="109"/>
    </row>
    <row r="374">
      <c r="E374" s="2"/>
      <c r="F374" s="4"/>
      <c r="G374" s="109"/>
    </row>
    <row r="375">
      <c r="E375" s="2"/>
      <c r="F375" s="4"/>
      <c r="G375" s="109"/>
    </row>
    <row r="376">
      <c r="E376" s="2"/>
      <c r="F376" s="4"/>
      <c r="G376" s="109"/>
    </row>
    <row r="377">
      <c r="E377" s="2"/>
      <c r="F377" s="4"/>
      <c r="G377" s="109"/>
    </row>
    <row r="378">
      <c r="E378" s="2"/>
      <c r="F378" s="4"/>
      <c r="G378" s="109"/>
    </row>
    <row r="379">
      <c r="E379" s="2"/>
      <c r="F379" s="4"/>
      <c r="G379" s="109"/>
    </row>
    <row r="380">
      <c r="E380" s="2"/>
      <c r="F380" s="4"/>
      <c r="G380" s="109"/>
    </row>
    <row r="381">
      <c r="E381" s="2"/>
      <c r="F381" s="4"/>
      <c r="G381" s="109"/>
    </row>
    <row r="382">
      <c r="E382" s="2"/>
      <c r="F382" s="4"/>
      <c r="G382" s="109"/>
    </row>
    <row r="383">
      <c r="E383" s="2"/>
      <c r="F383" s="4"/>
      <c r="G383" s="109"/>
    </row>
    <row r="384">
      <c r="E384" s="2"/>
      <c r="F384" s="4"/>
      <c r="G384" s="109"/>
    </row>
    <row r="385">
      <c r="E385" s="2"/>
      <c r="F385" s="4"/>
      <c r="G385" s="109"/>
    </row>
    <row r="386">
      <c r="E386" s="2"/>
      <c r="F386" s="4"/>
      <c r="G386" s="109"/>
    </row>
    <row r="387">
      <c r="E387" s="2"/>
      <c r="F387" s="4"/>
      <c r="G387" s="109"/>
    </row>
    <row r="388">
      <c r="E388" s="2"/>
      <c r="F388" s="4"/>
      <c r="G388" s="109"/>
    </row>
    <row r="389">
      <c r="E389" s="2"/>
      <c r="F389" s="4"/>
      <c r="G389" s="109"/>
    </row>
    <row r="390">
      <c r="E390" s="2"/>
      <c r="F390" s="4"/>
      <c r="G390" s="109"/>
    </row>
    <row r="391">
      <c r="E391" s="2"/>
      <c r="F391" s="4"/>
      <c r="G391" s="109"/>
    </row>
    <row r="392">
      <c r="E392" s="2"/>
      <c r="F392" s="4"/>
      <c r="G392" s="109"/>
    </row>
    <row r="393">
      <c r="E393" s="2"/>
      <c r="F393" s="4"/>
      <c r="G393" s="109"/>
    </row>
    <row r="394">
      <c r="E394" s="2"/>
      <c r="F394" s="4"/>
      <c r="G394" s="109"/>
    </row>
    <row r="395">
      <c r="E395" s="2"/>
      <c r="F395" s="4"/>
      <c r="G395" s="109"/>
    </row>
    <row r="396">
      <c r="E396" s="2"/>
      <c r="F396" s="4"/>
      <c r="G396" s="109"/>
    </row>
    <row r="397">
      <c r="E397" s="2"/>
      <c r="F397" s="4"/>
      <c r="G397" s="109"/>
    </row>
    <row r="398">
      <c r="E398" s="2"/>
      <c r="F398" s="4"/>
      <c r="G398" s="109"/>
    </row>
    <row r="399">
      <c r="E399" s="2"/>
      <c r="F399" s="4"/>
      <c r="G399" s="109"/>
    </row>
    <row r="400">
      <c r="E400" s="2"/>
      <c r="F400" s="4"/>
      <c r="G400" s="109"/>
    </row>
    <row r="401">
      <c r="E401" s="2"/>
      <c r="F401" s="4"/>
      <c r="G401" s="109"/>
    </row>
    <row r="402">
      <c r="E402" s="2"/>
      <c r="F402" s="4"/>
      <c r="G402" s="109"/>
    </row>
    <row r="403">
      <c r="E403" s="2"/>
      <c r="F403" s="4"/>
      <c r="G403" s="109"/>
    </row>
    <row r="404">
      <c r="E404" s="2"/>
      <c r="F404" s="4"/>
      <c r="G404" s="109"/>
    </row>
    <row r="405">
      <c r="E405" s="2"/>
      <c r="F405" s="4"/>
      <c r="G405" s="109"/>
    </row>
    <row r="406">
      <c r="E406" s="2"/>
      <c r="F406" s="4"/>
      <c r="G406" s="109"/>
    </row>
    <row r="407">
      <c r="E407" s="2"/>
      <c r="F407" s="4"/>
      <c r="G407" s="109"/>
    </row>
    <row r="408">
      <c r="E408" s="2"/>
      <c r="F408" s="4"/>
      <c r="G408" s="109"/>
    </row>
    <row r="409">
      <c r="E409" s="2"/>
      <c r="F409" s="4"/>
      <c r="G409" s="109"/>
    </row>
    <row r="410">
      <c r="E410" s="2"/>
      <c r="F410" s="4"/>
      <c r="G410" s="109"/>
    </row>
    <row r="411">
      <c r="E411" s="2"/>
      <c r="F411" s="4"/>
      <c r="G411" s="109"/>
    </row>
    <row r="412">
      <c r="E412" s="2"/>
      <c r="F412" s="4"/>
      <c r="G412" s="109"/>
    </row>
    <row r="413">
      <c r="E413" s="2"/>
      <c r="F413" s="4"/>
      <c r="G413" s="109"/>
    </row>
    <row r="414">
      <c r="E414" s="2"/>
      <c r="F414" s="4"/>
      <c r="G414" s="109"/>
    </row>
    <row r="415">
      <c r="E415" s="2"/>
      <c r="F415" s="4"/>
      <c r="G415" s="109"/>
    </row>
    <row r="416">
      <c r="E416" s="2"/>
      <c r="F416" s="4"/>
      <c r="G416" s="109"/>
    </row>
    <row r="417">
      <c r="E417" s="2"/>
      <c r="F417" s="4"/>
      <c r="G417" s="109"/>
    </row>
    <row r="418">
      <c r="E418" s="2"/>
      <c r="F418" s="4"/>
      <c r="G418" s="109"/>
    </row>
    <row r="419">
      <c r="E419" s="2"/>
      <c r="F419" s="4"/>
      <c r="G419" s="109"/>
    </row>
    <row r="420">
      <c r="E420" s="2"/>
      <c r="F420" s="4"/>
      <c r="G420" s="109"/>
    </row>
    <row r="421">
      <c r="E421" s="2"/>
      <c r="F421" s="4"/>
      <c r="G421" s="109"/>
    </row>
    <row r="422">
      <c r="E422" s="2"/>
      <c r="F422" s="4"/>
      <c r="G422" s="109"/>
    </row>
    <row r="423">
      <c r="E423" s="2"/>
      <c r="F423" s="4"/>
      <c r="G423" s="109"/>
    </row>
    <row r="424">
      <c r="E424" s="2"/>
      <c r="F424" s="4"/>
      <c r="G424" s="109"/>
    </row>
    <row r="425">
      <c r="E425" s="2"/>
      <c r="F425" s="4"/>
      <c r="G425" s="109"/>
    </row>
    <row r="426">
      <c r="E426" s="2"/>
      <c r="F426" s="4"/>
      <c r="G426" s="109"/>
    </row>
    <row r="427">
      <c r="E427" s="2"/>
      <c r="F427" s="4"/>
      <c r="G427" s="109"/>
    </row>
    <row r="428">
      <c r="E428" s="2"/>
      <c r="F428" s="4"/>
      <c r="G428" s="109"/>
    </row>
    <row r="429">
      <c r="E429" s="2"/>
      <c r="F429" s="4"/>
      <c r="G429" s="109"/>
    </row>
    <row r="430">
      <c r="E430" s="2"/>
      <c r="F430" s="4"/>
      <c r="G430" s="109"/>
    </row>
    <row r="431">
      <c r="E431" s="2"/>
      <c r="F431" s="4"/>
      <c r="G431" s="109"/>
    </row>
    <row r="432">
      <c r="E432" s="2"/>
      <c r="F432" s="4"/>
      <c r="G432" s="109"/>
    </row>
    <row r="433">
      <c r="E433" s="2"/>
      <c r="F433" s="4"/>
      <c r="G433" s="109"/>
    </row>
    <row r="434">
      <c r="E434" s="2"/>
      <c r="F434" s="4"/>
      <c r="G434" s="109"/>
    </row>
    <row r="435">
      <c r="E435" s="2"/>
      <c r="F435" s="4"/>
      <c r="G435" s="109"/>
    </row>
    <row r="436">
      <c r="E436" s="2"/>
      <c r="F436" s="4"/>
      <c r="G436" s="109"/>
    </row>
    <row r="437">
      <c r="E437" s="2"/>
      <c r="F437" s="4"/>
      <c r="G437" s="109"/>
    </row>
    <row r="438">
      <c r="E438" s="2"/>
      <c r="F438" s="4"/>
      <c r="G438" s="109"/>
    </row>
    <row r="439">
      <c r="E439" s="2"/>
      <c r="F439" s="4"/>
      <c r="G439" s="109"/>
    </row>
    <row r="440">
      <c r="E440" s="2"/>
      <c r="F440" s="4"/>
      <c r="G440" s="109"/>
    </row>
    <row r="441">
      <c r="E441" s="2"/>
      <c r="F441" s="4"/>
      <c r="G441" s="109"/>
    </row>
    <row r="442">
      <c r="E442" s="2"/>
      <c r="F442" s="4"/>
      <c r="G442" s="109"/>
    </row>
    <row r="443">
      <c r="E443" s="2"/>
      <c r="F443" s="4"/>
      <c r="G443" s="109"/>
    </row>
    <row r="444">
      <c r="E444" s="2"/>
      <c r="F444" s="4"/>
      <c r="G444" s="109"/>
    </row>
    <row r="445">
      <c r="E445" s="2"/>
      <c r="F445" s="4"/>
      <c r="G445" s="109"/>
    </row>
    <row r="446">
      <c r="E446" s="2"/>
      <c r="F446" s="4"/>
      <c r="G446" s="109"/>
    </row>
    <row r="447">
      <c r="E447" s="2"/>
      <c r="F447" s="4"/>
      <c r="G447" s="109"/>
    </row>
    <row r="448">
      <c r="E448" s="2"/>
      <c r="F448" s="4"/>
      <c r="G448" s="109"/>
    </row>
    <row r="449">
      <c r="E449" s="2"/>
      <c r="F449" s="4"/>
      <c r="G449" s="109"/>
    </row>
    <row r="450">
      <c r="E450" s="2"/>
      <c r="F450" s="4"/>
      <c r="G450" s="109"/>
    </row>
    <row r="451">
      <c r="E451" s="2"/>
      <c r="F451" s="4"/>
      <c r="G451" s="109"/>
    </row>
    <row r="452">
      <c r="E452" s="2"/>
      <c r="F452" s="4"/>
      <c r="G452" s="109"/>
    </row>
    <row r="453">
      <c r="E453" s="2"/>
      <c r="F453" s="4"/>
      <c r="G453" s="109"/>
    </row>
    <row r="454">
      <c r="E454" s="2"/>
      <c r="F454" s="4"/>
      <c r="G454" s="109"/>
    </row>
    <row r="455">
      <c r="E455" s="2"/>
      <c r="F455" s="4"/>
      <c r="G455" s="109"/>
    </row>
    <row r="456">
      <c r="E456" s="2"/>
      <c r="F456" s="4"/>
      <c r="G456" s="109"/>
    </row>
    <row r="457">
      <c r="E457" s="2"/>
      <c r="F457" s="4"/>
      <c r="G457" s="109"/>
    </row>
    <row r="458">
      <c r="E458" s="2"/>
      <c r="F458" s="4"/>
      <c r="G458" s="109"/>
    </row>
    <row r="459">
      <c r="E459" s="2"/>
      <c r="F459" s="4"/>
      <c r="G459" s="109"/>
    </row>
    <row r="460">
      <c r="E460" s="2"/>
      <c r="F460" s="4"/>
      <c r="G460" s="109"/>
    </row>
    <row r="461">
      <c r="E461" s="2"/>
      <c r="F461" s="4"/>
      <c r="G461" s="109"/>
    </row>
    <row r="462">
      <c r="E462" s="2"/>
      <c r="F462" s="4"/>
      <c r="G462" s="109"/>
    </row>
    <row r="463">
      <c r="E463" s="2"/>
      <c r="F463" s="4"/>
      <c r="G463" s="109"/>
    </row>
    <row r="464">
      <c r="E464" s="2"/>
      <c r="F464" s="4"/>
      <c r="G464" s="109"/>
    </row>
    <row r="465">
      <c r="E465" s="2"/>
      <c r="F465" s="4"/>
      <c r="G465" s="109"/>
    </row>
    <row r="466">
      <c r="E466" s="2"/>
      <c r="F466" s="4"/>
      <c r="G466" s="109"/>
    </row>
    <row r="467">
      <c r="E467" s="2"/>
      <c r="F467" s="4"/>
      <c r="G467" s="109"/>
    </row>
    <row r="468">
      <c r="E468" s="2"/>
      <c r="F468" s="4"/>
      <c r="G468" s="109"/>
    </row>
    <row r="469">
      <c r="E469" s="2"/>
      <c r="F469" s="4"/>
      <c r="G469" s="109"/>
    </row>
    <row r="470">
      <c r="E470" s="2"/>
      <c r="F470" s="4"/>
      <c r="G470" s="109"/>
    </row>
    <row r="471">
      <c r="E471" s="2"/>
      <c r="F471" s="4"/>
      <c r="G471" s="109"/>
    </row>
    <row r="472">
      <c r="E472" s="2"/>
      <c r="F472" s="4"/>
      <c r="G472" s="109"/>
    </row>
    <row r="473">
      <c r="E473" s="2"/>
      <c r="F473" s="4"/>
      <c r="G473" s="109"/>
    </row>
    <row r="474">
      <c r="E474" s="2"/>
      <c r="F474" s="4"/>
      <c r="G474" s="109"/>
    </row>
    <row r="475">
      <c r="E475" s="2"/>
      <c r="F475" s="4"/>
      <c r="G475" s="109"/>
    </row>
    <row r="476">
      <c r="E476" s="2"/>
      <c r="F476" s="4"/>
      <c r="G476" s="109"/>
    </row>
    <row r="477">
      <c r="E477" s="2"/>
      <c r="F477" s="4"/>
      <c r="G477" s="109"/>
    </row>
    <row r="478">
      <c r="E478" s="2"/>
      <c r="F478" s="4"/>
      <c r="G478" s="109"/>
    </row>
    <row r="479">
      <c r="E479" s="2"/>
      <c r="F479" s="4"/>
      <c r="G479" s="109"/>
    </row>
    <row r="480">
      <c r="E480" s="2"/>
      <c r="F480" s="4"/>
      <c r="G480" s="109"/>
    </row>
    <row r="481">
      <c r="E481" s="2"/>
      <c r="F481" s="4"/>
      <c r="G481" s="109"/>
    </row>
    <row r="482">
      <c r="E482" s="2"/>
      <c r="F482" s="4"/>
      <c r="G482" s="109"/>
    </row>
    <row r="483">
      <c r="E483" s="2"/>
      <c r="F483" s="4"/>
      <c r="G483" s="109"/>
    </row>
    <row r="484">
      <c r="E484" s="2"/>
      <c r="F484" s="4"/>
      <c r="G484" s="109"/>
    </row>
    <row r="485">
      <c r="E485" s="2"/>
      <c r="F485" s="4"/>
      <c r="G485" s="109"/>
    </row>
    <row r="486">
      <c r="E486" s="2"/>
      <c r="F486" s="4"/>
      <c r="G486" s="109"/>
    </row>
    <row r="487">
      <c r="E487" s="2"/>
      <c r="F487" s="4"/>
      <c r="G487" s="109"/>
    </row>
    <row r="488">
      <c r="E488" s="2"/>
      <c r="F488" s="4"/>
      <c r="G488" s="109"/>
    </row>
    <row r="489">
      <c r="E489" s="2"/>
      <c r="F489" s="4"/>
      <c r="G489" s="109"/>
    </row>
    <row r="490">
      <c r="E490" s="2"/>
      <c r="F490" s="4"/>
      <c r="G490" s="109"/>
    </row>
    <row r="491">
      <c r="E491" s="2"/>
      <c r="F491" s="4"/>
      <c r="G491" s="109"/>
    </row>
    <row r="492">
      <c r="E492" s="2"/>
      <c r="F492" s="4"/>
      <c r="G492" s="109"/>
    </row>
    <row r="493">
      <c r="E493" s="2"/>
      <c r="F493" s="4"/>
      <c r="G493" s="109"/>
    </row>
    <row r="494">
      <c r="E494" s="2"/>
      <c r="F494" s="4"/>
      <c r="G494" s="109"/>
    </row>
    <row r="495">
      <c r="E495" s="2"/>
      <c r="F495" s="4"/>
      <c r="G495" s="109"/>
    </row>
    <row r="496">
      <c r="E496" s="2"/>
      <c r="F496" s="4"/>
      <c r="G496" s="109"/>
    </row>
    <row r="497">
      <c r="E497" s="2"/>
      <c r="F497" s="4"/>
      <c r="G497" s="109"/>
    </row>
    <row r="498">
      <c r="E498" s="2"/>
      <c r="F498" s="4"/>
      <c r="G498" s="109"/>
    </row>
    <row r="499">
      <c r="E499" s="2"/>
      <c r="F499" s="4"/>
      <c r="G499" s="109"/>
    </row>
    <row r="500">
      <c r="E500" s="2"/>
      <c r="F500" s="4"/>
      <c r="G500" s="109"/>
    </row>
    <row r="501">
      <c r="E501" s="2"/>
      <c r="F501" s="4"/>
      <c r="G501" s="109"/>
    </row>
    <row r="502">
      <c r="E502" s="2"/>
      <c r="F502" s="4"/>
      <c r="G502" s="109"/>
    </row>
    <row r="503">
      <c r="E503" s="2"/>
      <c r="F503" s="4"/>
      <c r="G503" s="109"/>
    </row>
    <row r="504">
      <c r="E504" s="2"/>
      <c r="F504" s="4"/>
      <c r="G504" s="109"/>
    </row>
    <row r="505">
      <c r="E505" s="2"/>
      <c r="F505" s="4"/>
      <c r="G505" s="109"/>
    </row>
    <row r="506">
      <c r="E506" s="2"/>
      <c r="F506" s="4"/>
      <c r="G506" s="109"/>
    </row>
    <row r="507">
      <c r="E507" s="2"/>
      <c r="F507" s="4"/>
      <c r="G507" s="109"/>
    </row>
    <row r="508">
      <c r="E508" s="2"/>
      <c r="F508" s="4"/>
      <c r="G508" s="109"/>
    </row>
    <row r="509">
      <c r="E509" s="2"/>
      <c r="F509" s="4"/>
      <c r="G509" s="109"/>
    </row>
    <row r="510">
      <c r="E510" s="2"/>
      <c r="F510" s="4"/>
      <c r="G510" s="109"/>
    </row>
    <row r="511">
      <c r="E511" s="2"/>
      <c r="F511" s="4"/>
      <c r="G511" s="109"/>
    </row>
    <row r="512">
      <c r="E512" s="2"/>
      <c r="F512" s="4"/>
      <c r="G512" s="109"/>
    </row>
    <row r="513">
      <c r="E513" s="2"/>
      <c r="F513" s="4"/>
      <c r="G513" s="109"/>
    </row>
    <row r="514">
      <c r="E514" s="2"/>
      <c r="F514" s="4"/>
      <c r="G514" s="109"/>
    </row>
    <row r="515">
      <c r="E515" s="2"/>
      <c r="F515" s="4"/>
      <c r="G515" s="109"/>
    </row>
    <row r="516">
      <c r="E516" s="2"/>
      <c r="F516" s="4"/>
      <c r="G516" s="109"/>
    </row>
    <row r="517">
      <c r="E517" s="2"/>
      <c r="F517" s="4"/>
      <c r="G517" s="109"/>
    </row>
    <row r="518">
      <c r="E518" s="2"/>
      <c r="F518" s="4"/>
      <c r="G518" s="109"/>
    </row>
    <row r="519">
      <c r="E519" s="2"/>
      <c r="F519" s="4"/>
      <c r="G519" s="109"/>
    </row>
    <row r="520">
      <c r="E520" s="2"/>
      <c r="F520" s="4"/>
      <c r="G520" s="109"/>
    </row>
    <row r="521">
      <c r="E521" s="2"/>
      <c r="F521" s="4"/>
      <c r="G521" s="109"/>
    </row>
    <row r="522">
      <c r="E522" s="2"/>
      <c r="F522" s="4"/>
      <c r="G522" s="109"/>
    </row>
    <row r="523">
      <c r="E523" s="2"/>
      <c r="F523" s="4"/>
      <c r="G523" s="109"/>
    </row>
    <row r="524">
      <c r="E524" s="2"/>
      <c r="F524" s="4"/>
      <c r="G524" s="109"/>
    </row>
    <row r="525">
      <c r="E525" s="2"/>
      <c r="F525" s="4"/>
      <c r="G525" s="109"/>
    </row>
    <row r="526">
      <c r="E526" s="2"/>
      <c r="F526" s="4"/>
      <c r="G526" s="109"/>
    </row>
    <row r="527">
      <c r="E527" s="2"/>
      <c r="F527" s="4"/>
      <c r="G527" s="109"/>
    </row>
    <row r="528">
      <c r="E528" s="2"/>
      <c r="F528" s="4"/>
      <c r="G528" s="109"/>
    </row>
    <row r="529">
      <c r="E529" s="2"/>
      <c r="F529" s="4"/>
      <c r="G529" s="109"/>
    </row>
    <row r="530">
      <c r="E530" s="2"/>
      <c r="F530" s="4"/>
      <c r="G530" s="109"/>
    </row>
    <row r="531">
      <c r="E531" s="2"/>
      <c r="F531" s="4"/>
      <c r="G531" s="109"/>
    </row>
    <row r="532">
      <c r="E532" s="2"/>
      <c r="F532" s="4"/>
      <c r="G532" s="109"/>
    </row>
    <row r="533">
      <c r="E533" s="2"/>
      <c r="F533" s="4"/>
      <c r="G533" s="109"/>
    </row>
    <row r="534">
      <c r="E534" s="2"/>
      <c r="F534" s="4"/>
      <c r="G534" s="109"/>
    </row>
    <row r="535">
      <c r="E535" s="2"/>
      <c r="F535" s="4"/>
      <c r="G535" s="109"/>
    </row>
    <row r="536">
      <c r="E536" s="2"/>
      <c r="F536" s="4"/>
      <c r="G536" s="109"/>
    </row>
    <row r="537">
      <c r="E537" s="2"/>
      <c r="F537" s="4"/>
      <c r="G537" s="109"/>
    </row>
    <row r="538">
      <c r="E538" s="2"/>
      <c r="F538" s="4"/>
      <c r="G538" s="109"/>
    </row>
    <row r="539">
      <c r="E539" s="2"/>
      <c r="F539" s="4"/>
      <c r="G539" s="109"/>
    </row>
    <row r="540">
      <c r="E540" s="2"/>
      <c r="F540" s="4"/>
      <c r="G540" s="109"/>
    </row>
    <row r="541">
      <c r="E541" s="2"/>
      <c r="F541" s="4"/>
      <c r="G541" s="109"/>
    </row>
    <row r="542">
      <c r="E542" s="2"/>
      <c r="F542" s="4"/>
      <c r="G542" s="109"/>
    </row>
    <row r="543">
      <c r="E543" s="2"/>
      <c r="F543" s="4"/>
      <c r="G543" s="109"/>
    </row>
    <row r="544">
      <c r="E544" s="2"/>
      <c r="F544" s="4"/>
      <c r="G544" s="109"/>
    </row>
    <row r="545">
      <c r="E545" s="2"/>
      <c r="F545" s="4"/>
      <c r="G545" s="109"/>
    </row>
    <row r="546">
      <c r="E546" s="2"/>
      <c r="F546" s="4"/>
      <c r="G546" s="109"/>
    </row>
    <row r="547">
      <c r="E547" s="2"/>
      <c r="F547" s="4"/>
      <c r="G547" s="109"/>
    </row>
    <row r="548">
      <c r="E548" s="2"/>
      <c r="F548" s="4"/>
      <c r="G548" s="109"/>
    </row>
    <row r="549">
      <c r="E549" s="2"/>
      <c r="F549" s="4"/>
      <c r="G549" s="109"/>
    </row>
    <row r="550">
      <c r="E550" s="2"/>
      <c r="F550" s="4"/>
      <c r="G550" s="109"/>
    </row>
    <row r="551">
      <c r="E551" s="2"/>
      <c r="F551" s="4"/>
      <c r="G551" s="109"/>
    </row>
    <row r="552">
      <c r="E552" s="2"/>
      <c r="F552" s="4"/>
      <c r="G552" s="109"/>
    </row>
    <row r="553">
      <c r="E553" s="2"/>
      <c r="F553" s="4"/>
      <c r="G553" s="109"/>
    </row>
    <row r="554">
      <c r="E554" s="2"/>
      <c r="F554" s="4"/>
      <c r="G554" s="109"/>
    </row>
    <row r="555">
      <c r="E555" s="2"/>
      <c r="F555" s="4"/>
      <c r="G555" s="109"/>
    </row>
    <row r="556">
      <c r="E556" s="2"/>
      <c r="F556" s="4"/>
      <c r="G556" s="109"/>
    </row>
    <row r="557">
      <c r="E557" s="2"/>
      <c r="F557" s="4"/>
      <c r="G557" s="109"/>
    </row>
    <row r="558">
      <c r="E558" s="2"/>
      <c r="F558" s="4"/>
      <c r="G558" s="109"/>
    </row>
    <row r="559">
      <c r="E559" s="2"/>
      <c r="F559" s="4"/>
      <c r="G559" s="109"/>
    </row>
    <row r="560">
      <c r="E560" s="2"/>
      <c r="F560" s="4"/>
      <c r="G560" s="109"/>
    </row>
    <row r="561">
      <c r="E561" s="2"/>
      <c r="F561" s="4"/>
      <c r="G561" s="109"/>
    </row>
    <row r="562">
      <c r="E562" s="2"/>
      <c r="F562" s="4"/>
      <c r="G562" s="109"/>
    </row>
    <row r="563">
      <c r="E563" s="2"/>
      <c r="F563" s="4"/>
      <c r="G563" s="109"/>
    </row>
    <row r="564">
      <c r="E564" s="2"/>
      <c r="F564" s="4"/>
      <c r="G564" s="109"/>
    </row>
    <row r="565">
      <c r="E565" s="2"/>
      <c r="F565" s="4"/>
      <c r="G565" s="109"/>
    </row>
    <row r="566">
      <c r="E566" s="2"/>
      <c r="F566" s="4"/>
      <c r="G566" s="109"/>
    </row>
    <row r="567">
      <c r="E567" s="2"/>
      <c r="F567" s="4"/>
      <c r="G567" s="109"/>
    </row>
    <row r="568">
      <c r="E568" s="2"/>
      <c r="F568" s="4"/>
      <c r="G568" s="109"/>
    </row>
  </sheetData>
  <mergeCells count="68">
    <mergeCell ref="B5:D6"/>
    <mergeCell ref="E5:G5"/>
    <mergeCell ref="I5:I6"/>
    <mergeCell ref="B8:D8"/>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32:D32"/>
    <mergeCell ref="B85:D85"/>
    <mergeCell ref="B86:D87"/>
    <mergeCell ref="E86:G86"/>
    <mergeCell ref="I86:I87"/>
    <mergeCell ref="B88:D88"/>
    <mergeCell ref="B89:D89"/>
    <mergeCell ref="B90:D90"/>
    <mergeCell ref="B91:D91"/>
    <mergeCell ref="B92:D92"/>
    <mergeCell ref="B93:D93"/>
    <mergeCell ref="B94:D94"/>
    <mergeCell ref="B95:D95"/>
    <mergeCell ref="B97:D97"/>
    <mergeCell ref="B98:D98"/>
    <mergeCell ref="B99:D99"/>
    <mergeCell ref="B100:D100"/>
    <mergeCell ref="B101:D102"/>
    <mergeCell ref="E101:G101"/>
    <mergeCell ref="I101:I102"/>
    <mergeCell ref="B103:D103"/>
    <mergeCell ref="B104:D104"/>
    <mergeCell ref="B105:D105"/>
    <mergeCell ref="B112:D112"/>
    <mergeCell ref="B113:D114"/>
    <mergeCell ref="E113:G113"/>
    <mergeCell ref="I113:I114"/>
    <mergeCell ref="B115:D115"/>
    <mergeCell ref="B116:D116"/>
    <mergeCell ref="B117:D117"/>
    <mergeCell ref="B118:D118"/>
    <mergeCell ref="B120:D120"/>
    <mergeCell ref="B131:D131"/>
    <mergeCell ref="B132:D133"/>
    <mergeCell ref="E132:G132"/>
    <mergeCell ref="I132:I133"/>
    <mergeCell ref="B134:D134"/>
    <mergeCell ref="B135:D135"/>
    <mergeCell ref="B137:D137"/>
    <mergeCell ref="B147:D147"/>
    <mergeCell ref="B148:D148"/>
    <mergeCell ref="B149:D149"/>
    <mergeCell ref="B150:D150"/>
    <mergeCell ref="B151:D151"/>
    <mergeCell ref="B152:D152"/>
    <mergeCell ref="B153:D153"/>
    <mergeCell ref="B160:D160"/>
    <mergeCell ref="B171:D171"/>
  </mergeCells>
  <printOptions headings="0" gridLines="0" horizontalCentered="1"/>
  <pageMargins left="0.25" right="0.25" top="0.5" bottom="0.64999999999999991" header="0.25" footer="0.25"/>
  <pageSetup paperSize="9" scale="90" fitToWidth="1" fitToHeight="1" pageOrder="downThenOver" orientation="landscape" usePrinterDefaults="1" blackAndWhite="0" draft="0" cellComments="none" useFirstPageNumber="0" errors="displayed" horizontalDpi="300" verticalDpi="300" copies="1"/>
  <headerFooter>
    <oddHeader>&amp;R&amp;8&amp;D</oddHeader>
    <oddFooter>&amp;R&amp;8&amp;P</oddFooter>
  </headerFooter>
</worksheet>
</file>

<file path=docProps/app.xml><?xml version="1.0" encoding="utf-8"?>
<Properties xmlns="http://schemas.openxmlformats.org/officeDocument/2006/extended-properties" xmlns:vt="http://schemas.openxmlformats.org/officeDocument/2006/docPropsVTypes">
  <Template/>
  <Application>onlyoffice/9.1.0.167</Application>
  <DocSecurity>0</DocSecurity>
  <ScaleCrop>0</ScaleCrop>
  <HeadingPairs>
    <vt:vector size="0" baseType="variant"/>
  </HeadingPairs>
  <TitlesOfParts>
    <vt:vector size="0" baseType="lpstr"/>
  </TitlesOfParts>
  <Company>RestaurantOwner.com</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Food &amp; Beverage Inventory</dc:title>
  <dc:subject/>
  <dc:creator>Jim Laube</dc:creator>
  <dc:description>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2014 by RestaurantOwner.com</dc:description>
  <dc:language>en-US</dc:language>
  <cp:lastModifiedBy>Kent Kippes</cp:lastModifiedBy>
  <cp:revision>4</cp:revision>
  <dcterms:created xsi:type="dcterms:W3CDTF">2002-09-30T20:46:38Z</dcterms:created>
  <dcterms:modified xsi:type="dcterms:W3CDTF">2026-02-25T19:09:10Z</dcterms:modified>
  <cp:category>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2017-18 by RestaurantOwner.com</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2058542315</vt:i4>
  </property>
  <property fmtid="{D5CDD505-2E9C-101B-9397-08002B2CF9AE}" pid="3" name="_AuthorEmail">
    <vt:lpwstr>fna@pdq.net</vt:lpwstr>
  </property>
  <property fmtid="{D5CDD505-2E9C-101B-9397-08002B2CF9AE}" pid="4" name="_AuthorEmailDisplayName">
    <vt:lpwstr>Frank Audesirk</vt:lpwstr>
  </property>
  <property fmtid="{D5CDD505-2E9C-101B-9397-08002B2CF9AE}" pid="5" name="_EmailSubject">
    <vt:lpwstr>inventory</vt:lpwstr>
  </property>
  <property fmtid="{D5CDD505-2E9C-101B-9397-08002B2CF9AE}" pid="6" name="_ReviewingToolsShownOnce">
    <vt:lpwstr/>
  </property>
</Properties>
</file>