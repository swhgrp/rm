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4"/>
  <workbookPr defaultThemeVersion="202300"/>
  <mc:AlternateContent xmlns:mc="http://schemas.openxmlformats.org/markup-compatibility/2006">
    <mc:Choice Requires="x15">
      <x15ac:absPath xmlns:x15ac="http://schemas.microsoft.com/office/spreadsheetml/2010/11/ac" url="/Users/andystudebaker/Nextcloud2/Shared/Corporate Files/SW Grill Boca Files/Forms/"/>
    </mc:Choice>
  </mc:AlternateContent>
  <xr:revisionPtr revIDLastSave="0" documentId="13_ncr:1_{A4656772-4F02-A941-8B2B-35EC3743215F}" xr6:coauthVersionLast="47" xr6:coauthVersionMax="47" xr10:uidLastSave="{00000000-0000-0000-0000-000000000000}"/>
  <bookViews>
    <workbookView xWindow="0" yWindow="500" windowWidth="28800" windowHeight="15720" tabRatio="500" xr2:uid="{00000000-000D-0000-FFFF-FFFF00000000}"/>
  </bookViews>
  <sheets>
    <sheet name="FOOD" sheetId="1" r:id="rId1"/>
    <sheet name="BAR" sheetId="2" r:id="rId2"/>
  </sheets>
  <definedNames>
    <definedName name="_xlnm.Print_Area" localSheetId="1">BAR!$B$1:$I$102</definedName>
    <definedName name="_xlnm.Print_Area" localSheetId="0">FOOD!$C$1:$I$222</definedName>
    <definedName name="_xlnm.Print_Titles" localSheetId="1">BAR!$1:$6</definedName>
    <definedName name="_xlnm.Print_Titles" localSheetId="0">FOOD!$1:$6</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 i="2" l="1"/>
  <c r="M211" i="1"/>
  <c r="N211" i="1" s="1"/>
  <c r="M210" i="1"/>
  <c r="N210" i="1" s="1"/>
  <c r="M209" i="1"/>
  <c r="N209" i="1" s="1"/>
  <c r="N208" i="1"/>
  <c r="M208" i="1"/>
  <c r="M207" i="1"/>
  <c r="N207" i="1" s="1"/>
  <c r="M206" i="1"/>
  <c r="N206" i="1" s="1"/>
  <c r="M205" i="1"/>
  <c r="N205" i="1" s="1"/>
  <c r="N204" i="1"/>
  <c r="M204" i="1"/>
  <c r="M203" i="1"/>
  <c r="N203" i="1" s="1"/>
  <c r="M202" i="1"/>
  <c r="N202" i="1" s="1"/>
  <c r="M201" i="1"/>
  <c r="N201" i="1" s="1"/>
  <c r="N200" i="1"/>
  <c r="M200" i="1"/>
  <c r="M199" i="1"/>
  <c r="N199" i="1" s="1"/>
  <c r="M198" i="1"/>
  <c r="N198" i="1" s="1"/>
  <c r="M197" i="1"/>
  <c r="N197" i="1" s="1"/>
  <c r="N196" i="1"/>
  <c r="M196" i="1"/>
  <c r="M195" i="1"/>
  <c r="N195" i="1" s="1"/>
  <c r="M194" i="1"/>
  <c r="N194" i="1" s="1"/>
  <c r="M192" i="1"/>
  <c r="N192" i="1" s="1"/>
  <c r="N156" i="1"/>
  <c r="M156" i="1"/>
  <c r="M155" i="1"/>
  <c r="N155" i="1" s="1"/>
  <c r="M150" i="1"/>
  <c r="N150" i="1" s="1"/>
  <c r="M149" i="1"/>
  <c r="N149" i="1" s="1"/>
  <c r="N148" i="1"/>
  <c r="M148" i="1"/>
  <c r="M147" i="1"/>
  <c r="N147" i="1" s="1"/>
  <c r="M146" i="1"/>
  <c r="N146" i="1" s="1"/>
  <c r="M145" i="1"/>
  <c r="N145" i="1" s="1"/>
  <c r="N144" i="1"/>
  <c r="M144" i="1"/>
  <c r="M143" i="1"/>
  <c r="N143" i="1" s="1"/>
  <c r="M142" i="1"/>
  <c r="N142" i="1" s="1"/>
  <c r="M141" i="1"/>
  <c r="N141" i="1" s="1"/>
  <c r="N140" i="1"/>
  <c r="M140" i="1"/>
  <c r="M135" i="1"/>
  <c r="N135" i="1" s="1"/>
  <c r="M134" i="1"/>
  <c r="N134" i="1" s="1"/>
  <c r="M133" i="1"/>
  <c r="N133" i="1" s="1"/>
  <c r="N132" i="1"/>
  <c r="M132" i="1"/>
  <c r="M131" i="1"/>
  <c r="N131" i="1" s="1"/>
  <c r="M130" i="1"/>
  <c r="N130" i="1" s="1"/>
  <c r="M129" i="1"/>
  <c r="N129" i="1" s="1"/>
  <c r="N128" i="1"/>
  <c r="M128" i="1"/>
  <c r="M127" i="1"/>
  <c r="N127" i="1" s="1"/>
  <c r="M126" i="1"/>
  <c r="N126" i="1" s="1"/>
  <c r="M125" i="1"/>
  <c r="N125" i="1" s="1"/>
  <c r="N124" i="1"/>
  <c r="M124" i="1"/>
  <c r="M123" i="1"/>
  <c r="N123" i="1" s="1"/>
  <c r="M105" i="1"/>
  <c r="N105" i="1" s="1"/>
  <c r="M103" i="1"/>
  <c r="N103" i="1" s="1"/>
  <c r="N102" i="1"/>
  <c r="M102" i="1"/>
  <c r="M101" i="1"/>
  <c r="N101" i="1" s="1"/>
  <c r="M100" i="1"/>
  <c r="N100" i="1" s="1"/>
  <c r="M99" i="1"/>
  <c r="N99" i="1" s="1"/>
  <c r="N98" i="1"/>
  <c r="M98" i="1"/>
  <c r="M95" i="1"/>
  <c r="N95" i="1" s="1"/>
  <c r="M71" i="1"/>
  <c r="N71" i="1" s="1"/>
  <c r="M70" i="1"/>
  <c r="N70" i="1" s="1"/>
  <c r="N69" i="1"/>
  <c r="M69" i="1"/>
  <c r="M68" i="1"/>
  <c r="N68" i="1" s="1"/>
  <c r="M67" i="1"/>
  <c r="N67" i="1" s="1"/>
  <c r="M66" i="1"/>
  <c r="N66" i="1" s="1"/>
  <c r="N65" i="1"/>
  <c r="M65" i="1"/>
  <c r="M64" i="1"/>
  <c r="N64" i="1" s="1"/>
  <c r="M63" i="1"/>
  <c r="N63" i="1" s="1"/>
  <c r="M62" i="1"/>
  <c r="N62" i="1" s="1"/>
  <c r="N61" i="1"/>
  <c r="M61" i="1"/>
  <c r="M60" i="1"/>
  <c r="N60" i="1" s="1"/>
  <c r="M59" i="1"/>
  <c r="N59" i="1" s="1"/>
  <c r="M58" i="1"/>
  <c r="N58" i="1" s="1"/>
  <c r="N57" i="1"/>
  <c r="M57" i="1"/>
  <c r="M56" i="1"/>
  <c r="N56" i="1" s="1"/>
  <c r="M55" i="1"/>
  <c r="N55" i="1" s="1"/>
  <c r="M54" i="1"/>
  <c r="N54" i="1" s="1"/>
  <c r="N53" i="1"/>
  <c r="M53" i="1"/>
  <c r="M52" i="1"/>
  <c r="N52" i="1" s="1"/>
  <c r="M51" i="1"/>
  <c r="N51" i="1" s="1"/>
  <c r="M50" i="1"/>
  <c r="N50" i="1" s="1"/>
  <c r="N49" i="1"/>
  <c r="M49" i="1"/>
  <c r="M48" i="1"/>
  <c r="N48" i="1" s="1"/>
  <c r="M47" i="1"/>
  <c r="N47" i="1" s="1"/>
  <c r="M46" i="1"/>
  <c r="N46" i="1" s="1"/>
  <c r="N45" i="1"/>
  <c r="M45" i="1"/>
  <c r="M44" i="1"/>
  <c r="N44" i="1" s="1"/>
  <c r="M43" i="1"/>
  <c r="N43" i="1" s="1"/>
  <c r="M42" i="1"/>
  <c r="N42" i="1" s="1"/>
  <c r="N41" i="1"/>
  <c r="M41" i="1"/>
  <c r="M40" i="1"/>
  <c r="N40" i="1" s="1"/>
  <c r="M39" i="1"/>
  <c r="N39" i="1" s="1"/>
  <c r="M38" i="1"/>
  <c r="N38" i="1" s="1"/>
  <c r="N37" i="1"/>
  <c r="M37" i="1"/>
  <c r="M36" i="1"/>
  <c r="N36" i="1" s="1"/>
  <c r="M35" i="1"/>
  <c r="N35" i="1" s="1"/>
  <c r="M34" i="1"/>
  <c r="N34" i="1" s="1"/>
  <c r="N33" i="1"/>
  <c r="M33" i="1"/>
  <c r="M32" i="1"/>
  <c r="N32" i="1" s="1"/>
  <c r="M31" i="1"/>
  <c r="N31" i="1" s="1"/>
  <c r="M30" i="1"/>
  <c r="N30" i="1" s="1"/>
  <c r="N28" i="1"/>
  <c r="M28" i="1"/>
  <c r="M27" i="1"/>
  <c r="N27" i="1" s="1"/>
  <c r="M26" i="1"/>
  <c r="N26" i="1" s="1"/>
  <c r="M25" i="1"/>
  <c r="N25" i="1" s="1"/>
  <c r="N24" i="1"/>
  <c r="M24" i="1"/>
  <c r="M23" i="1"/>
  <c r="N23" i="1" s="1"/>
  <c r="M22" i="1"/>
  <c r="N22" i="1" s="1"/>
  <c r="M21" i="1"/>
  <c r="N21" i="1" s="1"/>
  <c r="N20" i="1"/>
  <c r="M20" i="1"/>
  <c r="M18" i="1"/>
  <c r="N18" i="1" s="1"/>
  <c r="M17" i="1"/>
  <c r="N17" i="1" s="1"/>
  <c r="M16" i="1"/>
  <c r="N16" i="1" s="1"/>
  <c r="N15" i="1"/>
  <c r="M15" i="1"/>
  <c r="M14" i="1"/>
  <c r="N14" i="1" s="1"/>
  <c r="M13" i="1"/>
  <c r="N13" i="1" s="1"/>
  <c r="M12" i="1"/>
  <c r="N12" i="1" s="1"/>
  <c r="N11" i="1"/>
  <c r="M11" i="1"/>
  <c r="M10" i="1"/>
  <c r="N10" i="1" s="1"/>
  <c r="M9" i="1"/>
  <c r="N9" i="1" s="1"/>
  <c r="M8" i="1"/>
  <c r="N8" i="1" s="1"/>
</calcChain>
</file>

<file path=xl/sharedStrings.xml><?xml version="1.0" encoding="utf-8"?>
<sst xmlns="http://schemas.openxmlformats.org/spreadsheetml/2006/main" count="572" uniqueCount="286">
  <si>
    <t>Food Order Sheet</t>
  </si>
  <si>
    <t xml:space="preserve"> </t>
  </si>
  <si>
    <t>ITEM DESCRIPTIONS</t>
  </si>
  <si>
    <t>DISTRUBUTOR</t>
  </si>
  <si>
    <t>UNITS</t>
  </si>
  <si>
    <t>ON HAND</t>
  </si>
  <si>
    <t>PAR</t>
  </si>
  <si>
    <t>TO ORDER</t>
  </si>
  <si>
    <t>Lowest Price</t>
  </si>
  <si>
    <t>MEAT</t>
  </si>
  <si>
    <t>BJs</t>
  </si>
  <si>
    <t>Sams</t>
  </si>
  <si>
    <t>GFS</t>
  </si>
  <si>
    <t>Price</t>
  </si>
  <si>
    <t>Per Unit</t>
  </si>
  <si>
    <t>Turkey</t>
  </si>
  <si>
    <t>Ham</t>
  </si>
  <si>
    <t>Salami</t>
  </si>
  <si>
    <t>Cappacola</t>
  </si>
  <si>
    <t>Cuban Meat</t>
  </si>
  <si>
    <t>Flap Steak</t>
  </si>
  <si>
    <t>Sausage Patties</t>
  </si>
  <si>
    <t>1 Case</t>
  </si>
  <si>
    <t>Hot Dogs</t>
  </si>
  <si>
    <t>5 Cases</t>
  </si>
  <si>
    <t>Bacon</t>
  </si>
  <si>
    <t>Burger patty</t>
  </si>
  <si>
    <t>Slider meat</t>
  </si>
  <si>
    <t>Prosciutto</t>
  </si>
  <si>
    <t>SNACKS</t>
  </si>
  <si>
    <t>M&amp;M's</t>
  </si>
  <si>
    <t>Peanut M&amp;M's</t>
  </si>
  <si>
    <t>Twix</t>
  </si>
  <si>
    <t>Snickers</t>
  </si>
  <si>
    <t>Reese's</t>
  </si>
  <si>
    <t>Kit Kat</t>
  </si>
  <si>
    <t>Milky Way</t>
  </si>
  <si>
    <t>Beef Jerky - Jack Links Variety Pack</t>
  </si>
  <si>
    <t>Trail Mix - Kar's Sweet and Salty</t>
  </si>
  <si>
    <t>Sam's</t>
  </si>
  <si>
    <t>Planters Nuts Variety Pack</t>
  </si>
  <si>
    <t>Goldfish Crackers</t>
  </si>
  <si>
    <t>Kind Bars - Peanut Butter/Almond Pack</t>
  </si>
  <si>
    <t>Clif Bar Peanut Butter</t>
  </si>
  <si>
    <t>Clif Bar Almond</t>
  </si>
  <si>
    <t>Muffin - Cholcolate Chip</t>
  </si>
  <si>
    <t>Muffin - Blueberry</t>
  </si>
  <si>
    <t>Muffin - Coffee Cake</t>
  </si>
  <si>
    <t>Brownies</t>
  </si>
  <si>
    <t>Vickie's Sea Salt</t>
  </si>
  <si>
    <t>Vickie's Salt &amp; Vinegar</t>
  </si>
  <si>
    <t>Vickie's BBQ</t>
  </si>
  <si>
    <t>Vickie's Jalapeno</t>
  </si>
  <si>
    <t>Pretzels</t>
  </si>
  <si>
    <t>Variety Pack Chips</t>
  </si>
  <si>
    <t>Waffle</t>
  </si>
  <si>
    <t>Hibiscus (Jamaica)</t>
  </si>
  <si>
    <t>Strawberry Dragonfruit</t>
  </si>
  <si>
    <t>Sweet Tea</t>
  </si>
  <si>
    <t>Lemonade</t>
  </si>
  <si>
    <t>Berry Patch</t>
  </si>
  <si>
    <t>Mandarin Cardamom</t>
  </si>
  <si>
    <t>POULTRY</t>
  </si>
  <si>
    <t>UNIT</t>
  </si>
  <si>
    <t>Eggs</t>
  </si>
  <si>
    <t>Chicken Wings</t>
  </si>
  <si>
    <t>Chicken Breast</t>
  </si>
  <si>
    <t>Chicken Tenders</t>
  </si>
  <si>
    <t>PRODUCE</t>
  </si>
  <si>
    <t>Lettuce</t>
  </si>
  <si>
    <t>Di Martino</t>
  </si>
  <si>
    <t>Red Onion</t>
  </si>
  <si>
    <t>Basil</t>
  </si>
  <si>
    <t>Tomatoes</t>
  </si>
  <si>
    <t>Cilantro</t>
  </si>
  <si>
    <t>White Onion</t>
  </si>
  <si>
    <t>Parsley</t>
  </si>
  <si>
    <t>Avocado</t>
  </si>
  <si>
    <t>Jalapeno</t>
  </si>
  <si>
    <t>Garlic Cloves</t>
  </si>
  <si>
    <t>Mint</t>
  </si>
  <si>
    <t>Cucumber</t>
  </si>
  <si>
    <t>Spring Mix</t>
  </si>
  <si>
    <t>Celery</t>
  </si>
  <si>
    <t>Slider Bun MINI</t>
  </si>
  <si>
    <t>Watermelon</t>
  </si>
  <si>
    <t>Cole Slaw</t>
  </si>
  <si>
    <t>Red Bell Pepper</t>
  </si>
  <si>
    <t>Strawberry</t>
  </si>
  <si>
    <t>Raspberry</t>
  </si>
  <si>
    <t>Blueberry</t>
  </si>
  <si>
    <t>Grapes</t>
  </si>
  <si>
    <t>Shallots</t>
  </si>
  <si>
    <t>Scallions</t>
  </si>
  <si>
    <t>Idaho Potatoes</t>
  </si>
  <si>
    <t>Frying Shortening</t>
  </si>
  <si>
    <t>DAIRY</t>
  </si>
  <si>
    <t>Cheddar</t>
  </si>
  <si>
    <t>Swiss</t>
  </si>
  <si>
    <t>Provolone</t>
  </si>
  <si>
    <t>Cream Cheese</t>
  </si>
  <si>
    <t>Pepper Jack Cheese</t>
  </si>
  <si>
    <t>Feta Cheese</t>
  </si>
  <si>
    <t>Buttermilk</t>
  </si>
  <si>
    <t>Heavy Cream</t>
  </si>
  <si>
    <t>Mexican Blend Cheese</t>
  </si>
  <si>
    <t>Parmesan Cheese</t>
  </si>
  <si>
    <t>Mozzarella Cheese Log</t>
  </si>
  <si>
    <t>Gouda Cheese</t>
  </si>
  <si>
    <t>Manchego Cheese</t>
  </si>
  <si>
    <t>Brie Cheese</t>
  </si>
  <si>
    <t>Ice Cream</t>
  </si>
  <si>
    <t>Sour Cream</t>
  </si>
  <si>
    <t>Ricotta Cheese</t>
  </si>
  <si>
    <t>Shredded Mozzarella Cheese</t>
  </si>
  <si>
    <t>Blue Cheese Crumble</t>
  </si>
  <si>
    <t>BAKERY</t>
  </si>
  <si>
    <t>Wheat Bread</t>
  </si>
  <si>
    <t>White Bread</t>
  </si>
  <si>
    <t>Hot Dog Buns</t>
  </si>
  <si>
    <t>English Muffins</t>
  </si>
  <si>
    <t>Bagels</t>
  </si>
  <si>
    <t>Wraps</t>
  </si>
  <si>
    <t>Cuban Bread</t>
  </si>
  <si>
    <t>Brioche Bun</t>
  </si>
  <si>
    <t>Tortilla Chips</t>
  </si>
  <si>
    <t>Italian Bread (grinder rolls)</t>
  </si>
  <si>
    <t>Sourdough Bread</t>
  </si>
  <si>
    <t>Flatbread</t>
  </si>
  <si>
    <t>Croissants</t>
  </si>
  <si>
    <t>GROCERY/DRY GOODS</t>
  </si>
  <si>
    <t>Ketchup Packets</t>
  </si>
  <si>
    <t>Mustard Packets</t>
  </si>
  <si>
    <t>Mayo Packets</t>
  </si>
  <si>
    <t>Ketchup #10 Jug</t>
  </si>
  <si>
    <t>Mayo 1gal</t>
  </si>
  <si>
    <t xml:space="preserve">2oz to go plastic container </t>
  </si>
  <si>
    <t>Kraut 1gal</t>
  </si>
  <si>
    <t xml:space="preserve">Dijon Mustard </t>
  </si>
  <si>
    <t>Yellow Mustard</t>
  </si>
  <si>
    <t>Honey Mustard</t>
  </si>
  <si>
    <t>Olive Oil</t>
  </si>
  <si>
    <t xml:space="preserve">4oz plastic to go containers </t>
  </si>
  <si>
    <t>BBQ Sauce</t>
  </si>
  <si>
    <t>Balsamic Glaze</t>
  </si>
  <si>
    <t>Ranch Powder</t>
  </si>
  <si>
    <t>Franks Hot Sauce</t>
  </si>
  <si>
    <t>Chipotle Pepper</t>
  </si>
  <si>
    <t>Cajun Seasoning</t>
  </si>
  <si>
    <t>Red Wine Vinegar</t>
  </si>
  <si>
    <t>Leaf Basil</t>
  </si>
  <si>
    <t>Granulated Sugar</t>
  </si>
  <si>
    <t>Brown Sugar</t>
  </si>
  <si>
    <t>Ponzu Sauce</t>
  </si>
  <si>
    <t>Panko</t>
  </si>
  <si>
    <t>Flour</t>
  </si>
  <si>
    <t>Lemon Pepper Seasoning</t>
  </si>
  <si>
    <t>Paprika</t>
  </si>
  <si>
    <t>Cayenne</t>
  </si>
  <si>
    <t>Ground Black Pepper</t>
  </si>
  <si>
    <t>Kosher Salt</t>
  </si>
  <si>
    <t>Granulated Garlic</t>
  </si>
  <si>
    <t>Blue Cheese Powder</t>
  </si>
  <si>
    <t>Teriyaki Sauce</t>
  </si>
  <si>
    <t>Worstershire Sauce</t>
  </si>
  <si>
    <t>Nutella</t>
  </si>
  <si>
    <t>Dry Oregano</t>
  </si>
  <si>
    <t>Balsamic Dressing</t>
  </si>
  <si>
    <t>Caesar Dressing</t>
  </si>
  <si>
    <t>French Fries</t>
  </si>
  <si>
    <t>LG Gloves</t>
  </si>
  <si>
    <t>Aluminum Foil Sheets 17x10</t>
  </si>
  <si>
    <t>White Wine Vinegar</t>
  </si>
  <si>
    <t>Cavatappi Pasta</t>
  </si>
  <si>
    <t>Ziploc Bags</t>
  </si>
  <si>
    <t xml:space="preserve">Label Dissolvable </t>
  </si>
  <si>
    <t>Hairnets</t>
  </si>
  <si>
    <t xml:space="preserve">LG TO GO Containters 8x8x3 </t>
  </si>
  <si>
    <t xml:space="preserve">       GFS</t>
  </si>
  <si>
    <t>PAPER  AND CONSUMABLES</t>
  </si>
  <si>
    <t>Clamshells</t>
  </si>
  <si>
    <t>Sandwich Wedges</t>
  </si>
  <si>
    <t>Napkins</t>
  </si>
  <si>
    <t>Water Cups</t>
  </si>
  <si>
    <t>Water Lids</t>
  </si>
  <si>
    <t>Coffee Cups</t>
  </si>
  <si>
    <t>Coffee Lids</t>
  </si>
  <si>
    <t>Straws</t>
  </si>
  <si>
    <t>Toilet Paper</t>
  </si>
  <si>
    <t>Paper Towels</t>
  </si>
  <si>
    <t>Aluminum Foil</t>
  </si>
  <si>
    <t>Hot Dog Trays</t>
  </si>
  <si>
    <t>Trash Bags</t>
  </si>
  <si>
    <t>Dishwasher Detergent</t>
  </si>
  <si>
    <t>Sanitizer</t>
  </si>
  <si>
    <t>Portion Cups</t>
  </si>
  <si>
    <t>Corn Tortillas</t>
  </si>
  <si>
    <t>Portion Lids</t>
  </si>
  <si>
    <t>SODA BIBS</t>
  </si>
  <si>
    <t>Beer</t>
  </si>
  <si>
    <t>Vendor</t>
  </si>
  <si>
    <t>Water</t>
  </si>
  <si>
    <t>Bottled Coke</t>
  </si>
  <si>
    <t>Canned Coke</t>
  </si>
  <si>
    <t>Receipt Paper</t>
  </si>
  <si>
    <t>Small Straws</t>
  </si>
  <si>
    <t>Napkins Table Dispenser</t>
  </si>
  <si>
    <t>Napkins Silverware Roll</t>
  </si>
  <si>
    <t>Fiji</t>
  </si>
  <si>
    <t>Perrier</t>
  </si>
  <si>
    <t>Kegs</t>
  </si>
  <si>
    <t>Multi-Fold Napkins</t>
  </si>
  <si>
    <t>Coffee</t>
  </si>
  <si>
    <t>Plastic Bags</t>
  </si>
  <si>
    <t>Limes</t>
  </si>
  <si>
    <t>Lemons</t>
  </si>
  <si>
    <t>Coffee Creamer</t>
  </si>
  <si>
    <t>Beverage Order Sheet</t>
  </si>
  <si>
    <t>DISTRIBUTOR</t>
  </si>
  <si>
    <t>LIQUOR</t>
  </si>
  <si>
    <t>Hornitos</t>
  </si>
  <si>
    <t>Case</t>
  </si>
  <si>
    <t>Bacardi Bahama Mama</t>
  </si>
  <si>
    <t>Bacardi Mojito</t>
  </si>
  <si>
    <t>Bacardi Rum Punch</t>
  </si>
  <si>
    <t>Bacardi Pina Colada</t>
  </si>
  <si>
    <t>Cazadores Margarita</t>
  </si>
  <si>
    <t>Cazadores Paloma</t>
  </si>
  <si>
    <t>Ketel One Spritzer</t>
  </si>
  <si>
    <t>Jim Beam Highball</t>
  </si>
  <si>
    <t>Caribe Mule</t>
  </si>
  <si>
    <t>Old Fashioned Mule</t>
  </si>
  <si>
    <t>Nutrl Pineapple</t>
  </si>
  <si>
    <t>Nutrl Watermelon</t>
  </si>
  <si>
    <t>Bud Black Cherry Seltzer</t>
  </si>
  <si>
    <t>BOTTLE BEER</t>
  </si>
  <si>
    <t>Miller Lite</t>
  </si>
  <si>
    <t>Coors Lite</t>
  </si>
  <si>
    <t>Mich Ultra</t>
  </si>
  <si>
    <t>Bud Light</t>
  </si>
  <si>
    <t>Budweiser</t>
  </si>
  <si>
    <t>Corona</t>
  </si>
  <si>
    <t>Modelo</t>
  </si>
  <si>
    <t>Heineken</t>
  </si>
  <si>
    <t>Stella</t>
  </si>
  <si>
    <t>Yeungling</t>
  </si>
  <si>
    <t>Jai Alai</t>
  </si>
  <si>
    <t>DRAFT BEER</t>
  </si>
  <si>
    <t>Keg</t>
  </si>
  <si>
    <t>Yuengling</t>
  </si>
  <si>
    <t>WINE</t>
  </si>
  <si>
    <t>Cabernet</t>
  </si>
  <si>
    <t>Chardonnay</t>
  </si>
  <si>
    <t>Merlot</t>
  </si>
  <si>
    <t>Stella Peach</t>
  </si>
  <si>
    <t>NAB</t>
  </si>
  <si>
    <t>Powerade Red</t>
  </si>
  <si>
    <t>Powerade Blue</t>
  </si>
  <si>
    <t>Powerade Purple</t>
  </si>
  <si>
    <t>Powerade Orange</t>
  </si>
  <si>
    <t>Powerade Yellow</t>
  </si>
  <si>
    <t>Powerade SF Red</t>
  </si>
  <si>
    <t>Powerade SF Blue</t>
  </si>
  <si>
    <t>Powerade SF Purple</t>
  </si>
  <si>
    <t>Powerade SF Orange</t>
  </si>
  <si>
    <t>Powerade SF Yellow</t>
  </si>
  <si>
    <t>Bottle Unsweet Tea</t>
  </si>
  <si>
    <t>Bottle Sweet Tea</t>
  </si>
  <si>
    <t>Bottle Coke</t>
  </si>
  <si>
    <t>Bottle Diet Coke</t>
  </si>
  <si>
    <t>Bottle Coke Zero</t>
  </si>
  <si>
    <t>Bottle Sprite</t>
  </si>
  <si>
    <t>BIB Coke</t>
  </si>
  <si>
    <t>Each</t>
  </si>
  <si>
    <t>BIB Diet Coke</t>
  </si>
  <si>
    <t>BIB Coke Zero</t>
  </si>
  <si>
    <t>BIB Sprite</t>
  </si>
  <si>
    <t>BIB Ginger Ale</t>
  </si>
  <si>
    <t>BIB Powerade Blue</t>
  </si>
  <si>
    <t>Monster Black</t>
  </si>
  <si>
    <t>Monster White</t>
  </si>
  <si>
    <t>Monster Orange</t>
  </si>
  <si>
    <t>Monster Blue</t>
  </si>
  <si>
    <t>Celsius Kiwi</t>
  </si>
  <si>
    <t>Celsius Orange</t>
  </si>
  <si>
    <t>SW Grill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</si>
</sst>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_(\$* \(#,##0.00\);_(\$* \-??_);_(@_)"/>
    <numFmt numFmtId="165" formatCode="m/d;@"/>
    <numFmt numFmtId="166" formatCode="#,##0.0_);\(#,##0.0\)"/>
  </numFmts>
  <fonts count="10" x14ac:knownFonts="1">
    <font>
      <sz val="10"/>
      <name val="Arial"/>
      <charset val="1"/>
    </font>
    <font>
      <b/>
      <sz val="10"/>
      <name val="Arial"/>
      <family val="2"/>
      <charset val="1"/>
    </font>
    <font>
      <b/>
      <sz val="18"/>
      <color rgb="FFFF0000"/>
      <name val="Arial"/>
      <family val="2"/>
      <charset val="1"/>
    </font>
    <font>
      <b/>
      <sz val="10"/>
      <color rgb="FFFF0000"/>
      <name val="Arial"/>
      <family val="2"/>
      <charset val="1"/>
    </font>
    <font>
      <sz val="8"/>
      <color rgb="FF000000"/>
      <name val="Times New Roman"/>
      <family val="1"/>
      <charset val="1"/>
    </font>
    <font>
      <b/>
      <sz val="8"/>
      <name val="Arial"/>
      <family val="2"/>
      <charset val="1"/>
    </font>
    <font>
      <b/>
      <sz val="14"/>
      <name val="Arial"/>
      <family val="2"/>
      <charset val="1"/>
    </font>
    <font>
      <b/>
      <sz val="10"/>
      <color rgb="FFFFFFFF"/>
      <name val="Arial"/>
      <family val="2"/>
      <charset val="1"/>
    </font>
    <font>
      <b/>
      <sz val="14"/>
      <color rgb="FFFFFFFF"/>
      <name val="Arial"/>
      <family val="2"/>
      <charset val="1"/>
    </font>
    <font>
      <sz val="10"/>
      <name val="Arial"/>
      <family val="2"/>
      <charset val="1"/>
    </font>
  </fonts>
  <fills count="6">
    <fill>
      <patternFill patternType="none"/>
    </fill>
    <fill>
      <patternFill patternType="gray125"/>
    </fill>
    <fill>
      <patternFill patternType="solid">
        <fgColor rgb="FFFFFFFF"/>
        <bgColor rgb="FFFFFFCC"/>
      </patternFill>
    </fill>
    <fill>
      <patternFill patternType="solid">
        <fgColor rgb="FFCADCEE"/>
        <bgColor rgb="FFB4C9E2"/>
      </patternFill>
    </fill>
    <fill>
      <patternFill patternType="solid">
        <fgColor rgb="FF376091"/>
        <bgColor rgb="FF333399"/>
      </patternFill>
    </fill>
    <fill>
      <patternFill patternType="solid">
        <fgColor rgb="FFB4C9E2"/>
        <bgColor rgb="FF99CCFF"/>
      </patternFill>
    </fill>
  </fills>
  <borders count="36">
    <border>
      <left/>
      <right/>
      <top/>
      <bottom/>
      <diagonal/>
    </border>
    <border>
      <left style="medium">
        <color auto="1"/>
      </left>
      <right/>
      <top style="medium">
        <color auto="1"/>
      </top>
      <bottom/>
      <diagonal/>
    </border>
    <border>
      <left style="medium">
        <color auto="1"/>
      </left>
      <right style="medium">
        <color auto="1"/>
      </right>
      <top style="medium">
        <color auto="1"/>
      </top>
      <bottom style="thin">
        <color auto="1"/>
      </bottom>
      <diagonal/>
    </border>
    <border>
      <left style="medium">
        <color auto="1"/>
      </left>
      <right/>
      <top style="medium">
        <color auto="1"/>
      </top>
      <bottom style="thin">
        <color auto="1"/>
      </bottom>
      <diagonal/>
    </border>
    <border>
      <left style="medium">
        <color auto="1"/>
      </left>
      <right style="medium">
        <color auto="1"/>
      </right>
      <top style="medium">
        <color auto="1"/>
      </top>
      <bottom/>
      <diagonal/>
    </border>
    <border>
      <left style="medium">
        <color auto="1"/>
      </left>
      <right/>
      <top/>
      <bottom/>
      <diagonal/>
    </border>
    <border>
      <left style="thin">
        <color auto="1"/>
      </left>
      <right style="medium">
        <color auto="1"/>
      </right>
      <top style="thin">
        <color auto="1"/>
      </top>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medium">
        <color auto="1"/>
      </bottom>
      <diagonal/>
    </border>
    <border>
      <left style="medium">
        <color auto="1"/>
      </left>
      <right style="medium">
        <color auto="1"/>
      </right>
      <top style="medium">
        <color auto="1"/>
      </top>
      <bottom style="medium">
        <color auto="1"/>
      </bottom>
      <diagonal/>
    </border>
    <border>
      <left style="thin">
        <color auto="1"/>
      </left>
      <right/>
      <top/>
      <bottom style="thin">
        <color auto="1"/>
      </bottom>
      <diagonal/>
    </border>
    <border>
      <left/>
      <right/>
      <top/>
      <bottom style="thin">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medium">
        <color auto="1"/>
      </left>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style="medium">
        <color auto="1"/>
      </right>
      <top style="medium">
        <color auto="1"/>
      </top>
      <bottom style="medium">
        <color auto="1"/>
      </bottom>
      <diagonal/>
    </border>
    <border>
      <left/>
      <right style="medium">
        <color auto="1"/>
      </right>
      <top style="thin">
        <color auto="1"/>
      </top>
      <bottom style="thin">
        <color auto="1"/>
      </bottom>
      <diagonal/>
    </border>
    <border>
      <left style="medium">
        <color auto="1"/>
      </left>
      <right/>
      <top style="thin">
        <color auto="1"/>
      </top>
      <bottom/>
      <diagonal/>
    </border>
    <border>
      <left style="thin">
        <color auto="1"/>
      </left>
      <right style="medium">
        <color auto="1"/>
      </right>
      <top style="thin">
        <color auto="1"/>
      </top>
      <bottom style="thin">
        <color auto="1"/>
      </bottom>
      <diagonal/>
    </border>
    <border>
      <left style="medium">
        <color auto="1"/>
      </left>
      <right style="medium">
        <color auto="1"/>
      </right>
      <top/>
      <bottom style="medium">
        <color auto="1"/>
      </bottom>
      <diagonal/>
    </border>
    <border>
      <left style="medium">
        <color auto="1"/>
      </left>
      <right style="medium">
        <color auto="1"/>
      </right>
      <top/>
      <bottom/>
      <diagonal/>
    </border>
    <border>
      <left style="medium">
        <color auto="1"/>
      </left>
      <right style="thin">
        <color auto="1"/>
      </right>
      <top/>
      <bottom/>
      <diagonal/>
    </border>
    <border>
      <left style="thin">
        <color auto="1"/>
      </left>
      <right style="medium">
        <color auto="1"/>
      </right>
      <top/>
      <bottom/>
      <diagonal/>
    </border>
    <border>
      <left style="medium">
        <color auto="1"/>
      </left>
      <right style="medium">
        <color auto="1"/>
      </right>
      <top style="thin">
        <color auto="1"/>
      </top>
      <bottom style="thin">
        <color auto="1"/>
      </bottom>
      <diagonal/>
    </border>
    <border>
      <left style="thin">
        <color auto="1"/>
      </left>
      <right/>
      <top style="thin">
        <color auto="1"/>
      </top>
      <bottom/>
      <diagonal/>
    </border>
    <border>
      <left/>
      <right style="medium">
        <color auto="1"/>
      </right>
      <top style="thin">
        <color auto="1"/>
      </top>
      <bottom/>
      <diagonal/>
    </border>
    <border>
      <left style="medium">
        <color auto="1"/>
      </left>
      <right style="medium">
        <color auto="1"/>
      </right>
      <top style="thin">
        <color auto="1"/>
      </top>
      <bottom style="medium">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medium">
        <color auto="1"/>
      </bottom>
      <diagonal/>
    </border>
  </borders>
  <cellStyleXfs count="1">
    <xf numFmtId="0" fontId="0" fillId="0" borderId="0"/>
  </cellStyleXfs>
  <cellXfs count="139">
    <xf numFmtId="0" fontId="0" fillId="0" borderId="0" xfId="0"/>
    <xf numFmtId="0" fontId="0" fillId="0" borderId="33" xfId="0" applyBorder="1"/>
    <xf numFmtId="0" fontId="6" fillId="2" borderId="4" xfId="0" applyFont="1" applyFill="1" applyBorder="1" applyAlignment="1">
      <alignment horizontal="center" vertical="center"/>
    </xf>
    <xf numFmtId="0" fontId="9" fillId="2" borderId="24" xfId="0" applyFont="1" applyFill="1" applyBorder="1"/>
    <xf numFmtId="0" fontId="9" fillId="2" borderId="24" xfId="0" applyFont="1" applyFill="1" applyBorder="1" applyAlignment="1">
      <alignment wrapText="1"/>
    </xf>
    <xf numFmtId="0" fontId="8" fillId="4" borderId="25" xfId="0" applyFont="1" applyFill="1" applyBorder="1" applyAlignment="1">
      <alignment horizontal="left" wrapText="1"/>
    </xf>
    <xf numFmtId="0" fontId="8" fillId="4" borderId="10" xfId="0" applyFont="1" applyFill="1" applyBorder="1" applyAlignment="1">
      <alignment horizontal="left" wrapText="1"/>
    </xf>
    <xf numFmtId="164" fontId="7" fillId="4" borderId="26" xfId="0" applyNumberFormat="1" applyFont="1" applyFill="1" applyBorder="1" applyAlignment="1">
      <alignment horizontal="center" vertical="center" wrapText="1"/>
    </xf>
    <xf numFmtId="0" fontId="1" fillId="3" borderId="26" xfId="0" applyFont="1" applyFill="1" applyBorder="1" applyAlignment="1">
      <alignment horizontal="center"/>
    </xf>
    <xf numFmtId="0" fontId="8" fillId="4" borderId="25" xfId="0" applyFont="1" applyFill="1" applyBorder="1" applyAlignment="1">
      <alignment horizontal="left"/>
    </xf>
    <xf numFmtId="0" fontId="1" fillId="3" borderId="4" xfId="0" applyFont="1" applyFill="1" applyBorder="1" applyAlignment="1">
      <alignment horizontal="center"/>
    </xf>
    <xf numFmtId="0" fontId="8" fillId="4" borderId="10" xfId="0" applyFont="1" applyFill="1" applyBorder="1" applyAlignment="1">
      <alignment horizontal="left"/>
    </xf>
    <xf numFmtId="164" fontId="7" fillId="4" borderId="4" xfId="0" applyNumberFormat="1" applyFont="1" applyFill="1" applyBorder="1" applyAlignment="1">
      <alignment horizontal="center" vertical="center" wrapText="1"/>
    </xf>
    <xf numFmtId="0" fontId="1" fillId="3" borderId="2" xfId="0" applyFont="1" applyFill="1" applyBorder="1" applyAlignment="1">
      <alignment horizontal="center"/>
    </xf>
    <xf numFmtId="0" fontId="6" fillId="2" borderId="1" xfId="0" applyFont="1" applyFill="1" applyBorder="1" applyAlignment="1">
      <alignment horizontal="center" vertical="center"/>
    </xf>
    <xf numFmtId="0" fontId="1" fillId="2" borderId="0" xfId="0" applyFont="1" applyFill="1"/>
    <xf numFmtId="0" fontId="1" fillId="2" borderId="0" xfId="0" applyFont="1" applyFill="1" applyAlignment="1">
      <alignment horizontal="center"/>
    </xf>
    <xf numFmtId="164" fontId="1" fillId="2" borderId="0" xfId="0" applyNumberFormat="1" applyFont="1" applyFill="1" applyAlignment="1">
      <alignment horizontal="center"/>
    </xf>
    <xf numFmtId="164" fontId="1" fillId="2" borderId="0" xfId="0" applyNumberFormat="1" applyFont="1" applyFill="1" applyAlignment="1">
      <alignment horizontal="left"/>
    </xf>
    <xf numFmtId="0" fontId="2" fillId="2" borderId="0" xfId="0" applyFont="1" applyFill="1"/>
    <xf numFmtId="39" fontId="1" fillId="2" borderId="0" xfId="0" applyNumberFormat="1" applyFont="1" applyFill="1" applyAlignment="1">
      <alignment horizontal="center"/>
    </xf>
    <xf numFmtId="165" fontId="3" fillId="2" borderId="0" xfId="0" applyNumberFormat="1" applyFont="1" applyFill="1" applyAlignment="1">
      <alignment horizontal="center"/>
    </xf>
    <xf numFmtId="0" fontId="0" fillId="0" borderId="0" xfId="0" applyAlignment="1">
      <alignment horizontal="center"/>
    </xf>
    <xf numFmtId="0" fontId="4" fillId="0" borderId="0" xfId="0" applyFont="1"/>
    <xf numFmtId="0" fontId="5" fillId="2" borderId="0" xfId="0" applyFont="1" applyFill="1"/>
    <xf numFmtId="0" fontId="5" fillId="2" borderId="0" xfId="0" applyFont="1" applyFill="1" applyAlignment="1">
      <alignment horizontal="center"/>
    </xf>
    <xf numFmtId="39" fontId="1" fillId="3" borderId="3" xfId="0" applyNumberFormat="1" applyFont="1" applyFill="1" applyBorder="1" applyAlignment="1">
      <alignment horizontal="center"/>
    </xf>
    <xf numFmtId="0" fontId="1" fillId="0" borderId="5" xfId="0" applyFont="1" applyBorder="1" applyAlignment="1">
      <alignment horizontal="center" vertical="center" wrapText="1"/>
    </xf>
    <xf numFmtId="0" fontId="1" fillId="0" borderId="0" xfId="0" applyFont="1" applyAlignment="1">
      <alignment horizontal="center" vertical="center" wrapText="1"/>
    </xf>
    <xf numFmtId="164" fontId="1" fillId="0" borderId="6" xfId="0" applyNumberFormat="1" applyFont="1" applyBorder="1" applyAlignment="1">
      <alignment horizontal="center" vertical="center" wrapText="1"/>
    </xf>
    <xf numFmtId="39" fontId="1" fillId="2" borderId="5" xfId="0" applyNumberFormat="1" applyFont="1" applyFill="1" applyBorder="1" applyAlignment="1">
      <alignment horizontal="center" vertical="center" wrapText="1"/>
    </xf>
    <xf numFmtId="0" fontId="8" fillId="4" borderId="7" xfId="0" applyFont="1" applyFill="1" applyBorder="1" applyAlignment="1">
      <alignment horizontal="left"/>
    </xf>
    <xf numFmtId="0" fontId="8" fillId="4" borderId="8" xfId="0" applyFont="1" applyFill="1" applyBorder="1" applyAlignment="1">
      <alignment horizontal="left"/>
    </xf>
    <xf numFmtId="0" fontId="1" fillId="5" borderId="7" xfId="0" applyFont="1" applyFill="1" applyBorder="1" applyAlignment="1">
      <alignment horizontal="center" vertical="center" wrapText="1"/>
    </xf>
    <xf numFmtId="0" fontId="1" fillId="5" borderId="9" xfId="0" applyFont="1" applyFill="1" applyBorder="1" applyAlignment="1">
      <alignment horizontal="center" vertical="center" wrapText="1"/>
    </xf>
    <xf numFmtId="164" fontId="1" fillId="5" borderId="9" xfId="0" applyNumberFormat="1" applyFont="1" applyFill="1" applyBorder="1" applyAlignment="1">
      <alignment horizontal="center" vertical="center" wrapText="1"/>
    </xf>
    <xf numFmtId="39" fontId="1" fillId="5" borderId="9" xfId="0" applyNumberFormat="1" applyFont="1" applyFill="1" applyBorder="1" applyAlignment="1">
      <alignment horizontal="center" vertical="center" wrapText="1"/>
    </xf>
    <xf numFmtId="164" fontId="1" fillId="5" borderId="10" xfId="0" applyNumberFormat="1" applyFont="1" applyFill="1" applyBorder="1" applyAlignment="1">
      <alignment horizontal="center" vertical="center" wrapText="1"/>
    </xf>
    <xf numFmtId="0" fontId="1" fillId="2" borderId="0" xfId="0" applyFont="1" applyFill="1" applyAlignment="1">
      <alignment wrapText="1"/>
    </xf>
    <xf numFmtId="0" fontId="0" fillId="0" borderId="11" xfId="0" applyBorder="1"/>
    <xf numFmtId="0" fontId="9" fillId="2" borderId="12" xfId="0" applyFont="1" applyFill="1" applyBorder="1"/>
    <xf numFmtId="0" fontId="9" fillId="2" borderId="13" xfId="0" applyFont="1" applyFill="1" applyBorder="1" applyAlignment="1">
      <alignment horizontal="center"/>
    </xf>
    <xf numFmtId="0" fontId="9" fillId="2" borderId="12" xfId="0" applyFont="1" applyFill="1" applyBorder="1" applyAlignment="1">
      <alignment horizontal="center"/>
    </xf>
    <xf numFmtId="1" fontId="9" fillId="2" borderId="14" xfId="0" applyNumberFormat="1" applyFont="1" applyFill="1" applyBorder="1" applyAlignment="1">
      <alignment horizontal="center"/>
    </xf>
    <xf numFmtId="0" fontId="9" fillId="2" borderId="15" xfId="0" applyFont="1" applyFill="1" applyBorder="1" applyAlignment="1">
      <alignment horizontal="center"/>
    </xf>
    <xf numFmtId="164" fontId="1" fillId="0" borderId="10" xfId="0" applyNumberFormat="1" applyFont="1" applyBorder="1" applyAlignment="1">
      <alignment horizontal="center" wrapText="1"/>
    </xf>
    <xf numFmtId="0" fontId="1" fillId="2" borderId="16" xfId="0" applyFont="1" applyFill="1" applyBorder="1" applyAlignment="1">
      <alignment wrapText="1"/>
    </xf>
    <xf numFmtId="0" fontId="1" fillId="2" borderId="17" xfId="0" applyFont="1" applyFill="1" applyBorder="1" applyAlignment="1">
      <alignment wrapText="1"/>
    </xf>
    <xf numFmtId="2" fontId="1" fillId="2" borderId="0" xfId="0" applyNumberFormat="1" applyFont="1" applyFill="1" applyAlignment="1">
      <alignment horizontal="center" wrapText="1"/>
    </xf>
    <xf numFmtId="0" fontId="9" fillId="2" borderId="18" xfId="0" applyFont="1" applyFill="1" applyBorder="1" applyAlignment="1">
      <alignment horizontal="center"/>
    </xf>
    <xf numFmtId="0" fontId="9" fillId="0" borderId="11" xfId="0" applyFont="1" applyBorder="1"/>
    <xf numFmtId="0" fontId="9" fillId="2" borderId="11" xfId="0" applyFont="1" applyFill="1" applyBorder="1"/>
    <xf numFmtId="0" fontId="1" fillId="2" borderId="19" xfId="0" applyFont="1" applyFill="1" applyBorder="1" applyAlignment="1">
      <alignment wrapText="1"/>
    </xf>
    <xf numFmtId="0" fontId="1" fillId="2" borderId="20" xfId="0" applyFont="1" applyFill="1" applyBorder="1" applyAlignment="1">
      <alignment wrapText="1"/>
    </xf>
    <xf numFmtId="164" fontId="1" fillId="0" borderId="10" xfId="0" applyNumberFormat="1" applyFont="1" applyBorder="1" applyAlignment="1">
      <alignment horizontal="left" wrapText="1"/>
    </xf>
    <xf numFmtId="39" fontId="1" fillId="3" borderId="1" xfId="0" applyNumberFormat="1" applyFont="1" applyFill="1" applyBorder="1" applyAlignment="1">
      <alignment horizontal="center"/>
    </xf>
    <xf numFmtId="0" fontId="1" fillId="2" borderId="16" xfId="0" applyFont="1" applyFill="1" applyBorder="1" applyAlignment="1">
      <alignment horizontal="center"/>
    </xf>
    <xf numFmtId="0" fontId="1" fillId="2" borderId="17" xfId="0" applyFont="1" applyFill="1" applyBorder="1" applyAlignment="1">
      <alignment horizontal="center"/>
    </xf>
    <xf numFmtId="0" fontId="1" fillId="0" borderId="7" xfId="0" applyFont="1" applyBorder="1" applyAlignment="1">
      <alignment horizontal="center" vertical="center" wrapText="1"/>
    </xf>
    <xf numFmtId="0" fontId="1" fillId="0" borderId="9" xfId="0" applyFont="1" applyBorder="1" applyAlignment="1">
      <alignment horizontal="center" vertical="center" wrapText="1"/>
    </xf>
    <xf numFmtId="164" fontId="1" fillId="0" borderId="21" xfId="0" applyNumberFormat="1" applyFont="1" applyBorder="1" applyAlignment="1">
      <alignment horizontal="center" vertical="center" wrapText="1"/>
    </xf>
    <xf numFmtId="39" fontId="1" fillId="2" borderId="7" xfId="0" applyNumberFormat="1" applyFont="1" applyFill="1" applyBorder="1" applyAlignment="1">
      <alignment horizontal="center" vertical="center" wrapText="1"/>
    </xf>
    <xf numFmtId="0" fontId="9" fillId="2" borderId="22" xfId="0" applyFont="1" applyFill="1" applyBorder="1"/>
    <xf numFmtId="0" fontId="9" fillId="2" borderId="23" xfId="0" applyFont="1" applyFill="1" applyBorder="1" applyAlignment="1">
      <alignment horizontal="center"/>
    </xf>
    <xf numFmtId="0" fontId="9" fillId="2" borderId="19" xfId="0" applyFont="1" applyFill="1" applyBorder="1"/>
    <xf numFmtId="0" fontId="9" fillId="2" borderId="16" xfId="0" applyFont="1" applyFill="1" applyBorder="1" applyAlignment="1">
      <alignment horizontal="center"/>
    </xf>
    <xf numFmtId="0" fontId="9" fillId="2" borderId="17" xfId="0" applyFont="1" applyFill="1" applyBorder="1" applyAlignment="1">
      <alignment horizontal="center"/>
    </xf>
    <xf numFmtId="1" fontId="9" fillId="2" borderId="24" xfId="0" applyNumberFormat="1" applyFont="1" applyFill="1" applyBorder="1" applyAlignment="1">
      <alignment horizontal="center"/>
    </xf>
    <xf numFmtId="0" fontId="9" fillId="2" borderId="20" xfId="0" applyFont="1" applyFill="1" applyBorder="1" applyAlignment="1">
      <alignment horizontal="center"/>
    </xf>
    <xf numFmtId="164" fontId="1" fillId="0" borderId="25" xfId="0" applyNumberFormat="1" applyFont="1" applyBorder="1" applyAlignment="1">
      <alignment horizontal="center" wrapText="1"/>
    </xf>
    <xf numFmtId="39" fontId="1" fillId="3" borderId="5" xfId="0" applyNumberFormat="1" applyFont="1" applyFill="1" applyBorder="1" applyAlignment="1">
      <alignment horizontal="center"/>
    </xf>
    <xf numFmtId="164" fontId="1" fillId="2" borderId="10" xfId="0" applyNumberFormat="1" applyFont="1" applyFill="1" applyBorder="1" applyAlignment="1">
      <alignment horizontal="center" wrapText="1"/>
    </xf>
    <xf numFmtId="164" fontId="1" fillId="2" borderId="10" xfId="0" applyNumberFormat="1" applyFont="1" applyFill="1" applyBorder="1" applyAlignment="1">
      <alignment horizontal="left" wrapText="1"/>
    </xf>
    <xf numFmtId="164" fontId="1" fillId="2" borderId="10" xfId="0" applyNumberFormat="1" applyFont="1" applyFill="1" applyBorder="1" applyAlignment="1">
      <alignment horizontal="center"/>
    </xf>
    <xf numFmtId="0" fontId="1" fillId="2" borderId="16" xfId="0" applyFont="1" applyFill="1" applyBorder="1"/>
    <xf numFmtId="0" fontId="1" fillId="2" borderId="17" xfId="0" applyFont="1" applyFill="1" applyBorder="1"/>
    <xf numFmtId="0" fontId="9" fillId="2" borderId="27" xfId="0" applyFont="1" applyFill="1" applyBorder="1" applyAlignment="1">
      <alignment horizontal="center"/>
    </xf>
    <xf numFmtId="0" fontId="9" fillId="2" borderId="0" xfId="0" applyFont="1" applyFill="1" applyAlignment="1">
      <alignment horizontal="center"/>
    </xf>
    <xf numFmtId="1" fontId="9" fillId="2" borderId="28" xfId="0" applyNumberFormat="1" applyFont="1" applyFill="1" applyBorder="1" applyAlignment="1">
      <alignment horizontal="center"/>
    </xf>
    <xf numFmtId="164" fontId="1" fillId="0" borderId="4" xfId="0" applyNumberFormat="1" applyFont="1" applyBorder="1" applyAlignment="1">
      <alignment horizontal="left" wrapText="1"/>
    </xf>
    <xf numFmtId="0" fontId="9" fillId="2" borderId="16" xfId="0" applyFont="1" applyFill="1" applyBorder="1"/>
    <xf numFmtId="1" fontId="9" fillId="2" borderId="17" xfId="0" applyNumberFormat="1" applyFont="1" applyFill="1" applyBorder="1" applyAlignment="1">
      <alignment horizontal="center"/>
    </xf>
    <xf numFmtId="0" fontId="9" fillId="2" borderId="19" xfId="0" applyFont="1" applyFill="1" applyBorder="1" applyAlignment="1">
      <alignment horizontal="center"/>
    </xf>
    <xf numFmtId="164" fontId="1" fillId="0" borderId="29" xfId="0" applyNumberFormat="1" applyFont="1" applyBorder="1" applyAlignment="1">
      <alignment horizontal="left" wrapText="1"/>
    </xf>
    <xf numFmtId="164" fontId="1" fillId="0" borderId="10" xfId="0" applyNumberFormat="1" applyFont="1" applyBorder="1" applyAlignment="1">
      <alignment horizontal="center"/>
    </xf>
    <xf numFmtId="164" fontId="1" fillId="0" borderId="4" xfId="0" applyNumberFormat="1" applyFont="1" applyBorder="1" applyAlignment="1">
      <alignment horizontal="center"/>
    </xf>
    <xf numFmtId="0" fontId="9" fillId="2" borderId="30" xfId="0" applyFont="1" applyFill="1" applyBorder="1"/>
    <xf numFmtId="0" fontId="9" fillId="2" borderId="31" xfId="0" applyFont="1" applyFill="1" applyBorder="1" applyAlignment="1">
      <alignment horizontal="center"/>
    </xf>
    <xf numFmtId="164" fontId="1" fillId="0" borderId="29" xfId="0" applyNumberFormat="1" applyFont="1" applyBorder="1" applyAlignment="1">
      <alignment horizontal="center" wrapText="1"/>
    </xf>
    <xf numFmtId="0" fontId="1" fillId="2" borderId="17" xfId="0" applyFont="1" applyFill="1" applyBorder="1" applyAlignment="1">
      <alignment horizontal="center" wrapText="1"/>
    </xf>
    <xf numFmtId="1" fontId="1" fillId="2" borderId="24" xfId="0" applyNumberFormat="1" applyFont="1" applyFill="1" applyBorder="1" applyAlignment="1">
      <alignment horizontal="center" wrapText="1"/>
    </xf>
    <xf numFmtId="164" fontId="1" fillId="2" borderId="29" xfId="0" applyNumberFormat="1" applyFont="1" applyFill="1" applyBorder="1" applyAlignment="1">
      <alignment horizontal="center" wrapText="1"/>
    </xf>
    <xf numFmtId="0" fontId="7" fillId="0" borderId="16" xfId="0" applyFont="1" applyBorder="1" applyAlignment="1">
      <alignment wrapText="1"/>
    </xf>
    <xf numFmtId="0" fontId="7" fillId="0" borderId="17" xfId="0" applyFont="1" applyBorder="1" applyAlignment="1">
      <alignment wrapText="1"/>
    </xf>
    <xf numFmtId="1" fontId="7" fillId="0" borderId="24" xfId="0" applyNumberFormat="1" applyFont="1" applyBorder="1" applyAlignment="1">
      <alignment horizontal="center" wrapText="1"/>
    </xf>
    <xf numFmtId="164" fontId="7" fillId="0" borderId="20" xfId="0" applyNumberFormat="1" applyFont="1" applyBorder="1" applyAlignment="1">
      <alignment horizontal="left" wrapText="1"/>
    </xf>
    <xf numFmtId="0" fontId="1" fillId="0" borderId="16" xfId="0" applyFont="1" applyBorder="1" applyAlignment="1">
      <alignment horizontal="left" wrapText="1"/>
    </xf>
    <xf numFmtId="0" fontId="1" fillId="0" borderId="17" xfId="0" applyFont="1" applyBorder="1" applyAlignment="1">
      <alignment horizontal="left" wrapText="1"/>
    </xf>
    <xf numFmtId="1" fontId="1" fillId="0" borderId="24" xfId="0" applyNumberFormat="1" applyFont="1" applyBorder="1" applyAlignment="1">
      <alignment horizontal="center" wrapText="1"/>
    </xf>
    <xf numFmtId="0" fontId="1" fillId="0" borderId="20" xfId="0" applyFont="1" applyBorder="1" applyAlignment="1">
      <alignment wrapText="1"/>
    </xf>
    <xf numFmtId="0" fontId="1" fillId="2" borderId="16" xfId="0" applyFont="1" applyFill="1" applyBorder="1" applyAlignment="1">
      <alignment horizontal="center" wrapText="1"/>
    </xf>
    <xf numFmtId="164" fontId="1" fillId="2" borderId="20" xfId="0" applyNumberFormat="1" applyFont="1" applyFill="1" applyBorder="1" applyAlignment="1">
      <alignment horizontal="left" wrapText="1"/>
    </xf>
    <xf numFmtId="1" fontId="1" fillId="2" borderId="24" xfId="0" applyNumberFormat="1" applyFont="1" applyFill="1" applyBorder="1" applyAlignment="1">
      <alignment horizontal="center"/>
    </xf>
    <xf numFmtId="164" fontId="1" fillId="2" borderId="20" xfId="0" applyNumberFormat="1" applyFont="1" applyFill="1" applyBorder="1" applyAlignment="1">
      <alignment horizontal="left"/>
    </xf>
    <xf numFmtId="164" fontId="1" fillId="2" borderId="32" xfId="0" applyNumberFormat="1" applyFont="1" applyFill="1" applyBorder="1" applyAlignment="1">
      <alignment horizontal="center"/>
    </xf>
    <xf numFmtId="0" fontId="1" fillId="0" borderId="0" xfId="0" applyFont="1" applyAlignment="1">
      <alignment horizontal="center"/>
    </xf>
    <xf numFmtId="164" fontId="1" fillId="0" borderId="0" xfId="0" applyNumberFormat="1" applyFont="1" applyAlignment="1">
      <alignment horizontal="left"/>
    </xf>
    <xf numFmtId="166" fontId="1" fillId="0" borderId="0" xfId="0" applyNumberFormat="1" applyFont="1" applyAlignment="1">
      <alignment horizontal="center"/>
    </xf>
    <xf numFmtId="39" fontId="1" fillId="0" borderId="0" xfId="0" applyNumberFormat="1" applyFont="1" applyAlignment="1">
      <alignment horizontal="center"/>
    </xf>
    <xf numFmtId="164" fontId="1" fillId="0" borderId="0" xfId="0" applyNumberFormat="1" applyFont="1"/>
    <xf numFmtId="0" fontId="1" fillId="0" borderId="0" xfId="0" applyFont="1"/>
    <xf numFmtId="166" fontId="1" fillId="2" borderId="0" xfId="0" applyNumberFormat="1" applyFont="1" applyFill="1" applyAlignment="1">
      <alignment horizontal="center"/>
    </xf>
    <xf numFmtId="164" fontId="1" fillId="2" borderId="0" xfId="0" applyNumberFormat="1" applyFont="1" applyFill="1"/>
    <xf numFmtId="165" fontId="3" fillId="2" borderId="10" xfId="0" applyNumberFormat="1" applyFont="1" applyFill="1" applyBorder="1" applyAlignment="1">
      <alignment horizontal="center"/>
    </xf>
    <xf numFmtId="0" fontId="1" fillId="2" borderId="0" xfId="0" applyFont="1" applyFill="1" applyAlignment="1">
      <alignment horizontal="center" wrapText="1"/>
    </xf>
    <xf numFmtId="166" fontId="1" fillId="2" borderId="0" xfId="0" applyNumberFormat="1" applyFont="1" applyFill="1" applyAlignment="1">
      <alignment horizontal="center" wrapText="1"/>
    </xf>
    <xf numFmtId="164" fontId="1" fillId="2" borderId="0" xfId="0" applyNumberFormat="1" applyFont="1" applyFill="1" applyAlignment="1">
      <alignment horizontal="center" wrapText="1"/>
    </xf>
    <xf numFmtId="0" fontId="9" fillId="2" borderId="34" xfId="0" applyFont="1" applyFill="1" applyBorder="1" applyAlignment="1">
      <alignment horizontal="center"/>
    </xf>
    <xf numFmtId="164" fontId="9" fillId="2" borderId="24" xfId="0" applyNumberFormat="1" applyFont="1" applyFill="1" applyBorder="1" applyAlignment="1">
      <alignment horizontal="left"/>
    </xf>
    <xf numFmtId="166" fontId="9" fillId="0" borderId="20" xfId="0" applyNumberFormat="1" applyFont="1" applyBorder="1" applyAlignment="1">
      <alignment horizontal="center"/>
    </xf>
    <xf numFmtId="0" fontId="9" fillId="0" borderId="24" xfId="0" applyFont="1" applyBorder="1"/>
    <xf numFmtId="39" fontId="9" fillId="0" borderId="34" xfId="0" applyNumberFormat="1" applyFont="1" applyBorder="1" applyAlignment="1">
      <alignment horizontal="center"/>
    </xf>
    <xf numFmtId="0" fontId="1" fillId="2" borderId="34" xfId="0" applyFont="1" applyFill="1" applyBorder="1" applyAlignment="1">
      <alignment horizontal="center"/>
    </xf>
    <xf numFmtId="166" fontId="9" fillId="2" borderId="20" xfId="0" applyNumberFormat="1" applyFont="1" applyFill="1" applyBorder="1" applyAlignment="1">
      <alignment horizontal="center"/>
    </xf>
    <xf numFmtId="0" fontId="9" fillId="0" borderId="19" xfId="0" applyFont="1" applyBorder="1"/>
    <xf numFmtId="0" fontId="0" fillId="0" borderId="20" xfId="0" applyBorder="1"/>
    <xf numFmtId="0" fontId="0" fillId="0" borderId="22" xfId="0" applyBorder="1"/>
    <xf numFmtId="0" fontId="7" fillId="0" borderId="0" xfId="0" applyFont="1"/>
    <xf numFmtId="164" fontId="7" fillId="0" borderId="0" xfId="0" applyNumberFormat="1" applyFont="1" applyAlignment="1">
      <alignment horizontal="left"/>
    </xf>
    <xf numFmtId="166" fontId="7" fillId="0" borderId="0" xfId="0" applyNumberFormat="1" applyFont="1"/>
    <xf numFmtId="166" fontId="1" fillId="0" borderId="0" xfId="0" applyNumberFormat="1" applyFont="1"/>
    <xf numFmtId="166" fontId="7" fillId="0" borderId="0" xfId="0" applyNumberFormat="1" applyFont="1" applyAlignment="1">
      <alignment horizontal="center"/>
    </xf>
    <xf numFmtId="0" fontId="0" fillId="0" borderId="24" xfId="0" applyBorder="1"/>
    <xf numFmtId="0" fontId="9" fillId="2" borderId="24" xfId="0" applyFont="1" applyFill="1" applyBorder="1" applyAlignment="1">
      <alignment horizontal="left"/>
    </xf>
    <xf numFmtId="0" fontId="9" fillId="2" borderId="35" xfId="0" applyFont="1" applyFill="1" applyBorder="1"/>
    <xf numFmtId="0" fontId="7" fillId="4" borderId="4" xfId="0" applyFont="1" applyFill="1" applyBorder="1" applyAlignment="1">
      <alignment horizontal="center" vertical="center" wrapText="1"/>
    </xf>
    <xf numFmtId="0" fontId="9" fillId="2" borderId="33" xfId="0" applyFont="1" applyFill="1" applyBorder="1" applyAlignment="1">
      <alignment horizontal="left"/>
    </xf>
    <xf numFmtId="0" fontId="1" fillId="2" borderId="24" xfId="0" applyFont="1" applyFill="1" applyBorder="1" applyAlignment="1">
      <alignment horizontal="left"/>
    </xf>
    <xf numFmtId="0" fontId="9" fillId="0" borderId="24" xfId="0" applyFont="1" applyBorder="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9E2"/>
      <rgbColor rgb="FF808080"/>
      <rgbColor rgb="FF9999FF"/>
      <rgbColor rgb="FF993366"/>
      <rgbColor rgb="FFFFFFCC"/>
      <rgbColor rgb="FFCCFFFF"/>
      <rgbColor rgb="FF660066"/>
      <rgbColor rgb="FFFF8080"/>
      <rgbColor rgb="FF0066CC"/>
      <rgbColor rgb="FFCADC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376091"/>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33"/>
  <sheetViews>
    <sheetView showGridLines="0" tabSelected="1" zoomScale="150" zoomScaleNormal="150" workbookViewId="0">
      <selection activeCell="C2" sqref="C2"/>
    </sheetView>
  </sheetViews>
  <sheetFormatPr baseColWidth="10" defaultColWidth="9.1640625" defaultRowHeight="13" x14ac:dyDescent="0.15"/>
  <cols>
    <col min="1" max="2" width="3.5" style="15" customWidth="1"/>
    <col min="3" max="3" width="21.5" style="15" customWidth="1"/>
    <col min="4" max="4" width="12.6640625" style="15" customWidth="1"/>
    <col min="5" max="6" width="9.6640625" style="16" customWidth="1"/>
    <col min="7" max="7" width="9.1640625" style="17"/>
    <col min="8" max="8" width="13.5" style="18" customWidth="1"/>
    <col min="9" max="9" width="12.83203125" style="15" customWidth="1"/>
    <col min="10" max="14" width="11.5" style="15" hidden="1" customWidth="1"/>
    <col min="15" max="16384" width="9.1640625" style="15"/>
  </cols>
  <sheetData>
    <row r="1" spans="3:14" ht="23" x14ac:dyDescent="0.25">
      <c r="C1" s="19" t="s">
        <v>285</v>
      </c>
      <c r="E1" s="15"/>
      <c r="F1" s="15"/>
      <c r="G1" s="16"/>
      <c r="H1" s="20"/>
      <c r="I1" s="18"/>
    </row>
    <row r="2" spans="3:14" x14ac:dyDescent="0.15">
      <c r="C2" s="15" t="s">
        <v>0</v>
      </c>
      <c r="E2" s="15"/>
      <c r="F2" s="15"/>
      <c r="G2" s="16"/>
      <c r="H2" s="20" t="s">
        <v>1</v>
      </c>
      <c r="I2" s="18"/>
    </row>
    <row r="3" spans="3:14" x14ac:dyDescent="0.15">
      <c r="D3" s="21"/>
      <c r="E3" s="15"/>
      <c r="F3" s="15"/>
      <c r="G3" s="22"/>
      <c r="H3" s="20"/>
      <c r="I3" s="18"/>
    </row>
    <row r="4" spans="3:14" x14ac:dyDescent="0.15">
      <c r="C4" s="23"/>
      <c r="D4" s="24"/>
      <c r="E4" s="25"/>
      <c r="F4" s="25"/>
    </row>
    <row r="5" spans="3:14" s="16" customFormat="1" ht="17.25" customHeight="1" x14ac:dyDescent="0.15">
      <c r="C5" s="14" t="s">
        <v>2</v>
      </c>
      <c r="D5" s="14"/>
      <c r="E5" s="13"/>
      <c r="F5" s="13"/>
      <c r="G5" s="13"/>
      <c r="H5" s="26"/>
      <c r="I5" s="12" t="s">
        <v>3</v>
      </c>
    </row>
    <row r="6" spans="3:14" s="16" customFormat="1" ht="13.5" customHeight="1" x14ac:dyDescent="0.15">
      <c r="C6" s="14"/>
      <c r="D6" s="14"/>
      <c r="E6" s="27" t="s">
        <v>4</v>
      </c>
      <c r="F6" s="28" t="s">
        <v>5</v>
      </c>
      <c r="G6" s="29" t="s">
        <v>6</v>
      </c>
      <c r="H6" s="30" t="s">
        <v>7</v>
      </c>
      <c r="I6" s="12"/>
      <c r="M6" s="16" t="s">
        <v>8</v>
      </c>
    </row>
    <row r="7" spans="3:14" s="16" customFormat="1" ht="20.25" customHeight="1" x14ac:dyDescent="0.2">
      <c r="C7" s="31" t="s">
        <v>9</v>
      </c>
      <c r="D7" s="32"/>
      <c r="E7" s="33"/>
      <c r="F7" s="34"/>
      <c r="G7" s="35"/>
      <c r="H7" s="36"/>
      <c r="I7" s="37"/>
      <c r="J7" s="16" t="s">
        <v>10</v>
      </c>
      <c r="K7" s="16" t="s">
        <v>11</v>
      </c>
      <c r="L7" s="16" t="s">
        <v>12</v>
      </c>
      <c r="M7" s="16" t="s">
        <v>13</v>
      </c>
      <c r="N7" s="16" t="s">
        <v>14</v>
      </c>
    </row>
    <row r="8" spans="3:14" s="38" customFormat="1" ht="14" x14ac:dyDescent="0.15">
      <c r="C8" s="39" t="s">
        <v>15</v>
      </c>
      <c r="D8" s="40"/>
      <c r="E8" s="41"/>
      <c r="F8" s="42"/>
      <c r="G8" s="43"/>
      <c r="H8" s="44"/>
      <c r="I8" s="45" t="s">
        <v>12</v>
      </c>
      <c r="J8" s="46"/>
      <c r="K8" s="47"/>
      <c r="L8" s="47"/>
      <c r="M8" s="47">
        <f t="shared" ref="M8:M18" si="0">MIN(J8:L8)</f>
        <v>0</v>
      </c>
      <c r="N8" s="48" t="e">
        <f t="shared" ref="N8:N18" si="1">SUM(M8/E8)</f>
        <v>#DIV/0!</v>
      </c>
    </row>
    <row r="9" spans="3:14" s="38" customFormat="1" ht="14" x14ac:dyDescent="0.15">
      <c r="C9" s="39" t="s">
        <v>16</v>
      </c>
      <c r="D9" s="40"/>
      <c r="E9" s="41"/>
      <c r="F9" s="42"/>
      <c r="G9" s="43"/>
      <c r="H9" s="49"/>
      <c r="I9" s="45" t="s">
        <v>12</v>
      </c>
      <c r="J9" s="46"/>
      <c r="K9" s="47"/>
      <c r="L9" s="47"/>
      <c r="M9" s="47">
        <f t="shared" si="0"/>
        <v>0</v>
      </c>
      <c r="N9" s="48" t="e">
        <f t="shared" si="1"/>
        <v>#DIV/0!</v>
      </c>
    </row>
    <row r="10" spans="3:14" s="38" customFormat="1" ht="14" x14ac:dyDescent="0.15">
      <c r="C10" s="39" t="s">
        <v>17</v>
      </c>
      <c r="D10" s="40"/>
      <c r="E10" s="41"/>
      <c r="F10" s="42"/>
      <c r="G10" s="43"/>
      <c r="H10" s="49"/>
      <c r="I10" s="45" t="s">
        <v>12</v>
      </c>
      <c r="J10" s="46"/>
      <c r="K10" s="47"/>
      <c r="L10" s="47"/>
      <c r="M10" s="47">
        <f t="shared" si="0"/>
        <v>0</v>
      </c>
      <c r="N10" s="48" t="e">
        <f t="shared" si="1"/>
        <v>#DIV/0!</v>
      </c>
    </row>
    <row r="11" spans="3:14" s="38" customFormat="1" ht="14" x14ac:dyDescent="0.15">
      <c r="C11" s="39" t="s">
        <v>18</v>
      </c>
      <c r="D11" s="40"/>
      <c r="E11" s="41"/>
      <c r="F11" s="42"/>
      <c r="G11" s="43"/>
      <c r="H11" s="49"/>
      <c r="I11" s="45" t="s">
        <v>12</v>
      </c>
      <c r="J11" s="46"/>
      <c r="K11" s="47"/>
      <c r="L11" s="47"/>
      <c r="M11" s="47">
        <f t="shared" si="0"/>
        <v>0</v>
      </c>
      <c r="N11" s="48" t="e">
        <f t="shared" si="1"/>
        <v>#DIV/0!</v>
      </c>
    </row>
    <row r="12" spans="3:14" s="38" customFormat="1" ht="14" x14ac:dyDescent="0.15">
      <c r="C12" s="39" t="s">
        <v>19</v>
      </c>
      <c r="D12" s="40"/>
      <c r="E12" s="41"/>
      <c r="F12" s="42"/>
      <c r="G12" s="43"/>
      <c r="H12" s="49"/>
      <c r="I12" s="45" t="s">
        <v>12</v>
      </c>
      <c r="J12" s="46"/>
      <c r="K12" s="47"/>
      <c r="L12" s="47"/>
      <c r="M12" s="47">
        <f t="shared" si="0"/>
        <v>0</v>
      </c>
      <c r="N12" s="48" t="e">
        <f t="shared" si="1"/>
        <v>#DIV/0!</v>
      </c>
    </row>
    <row r="13" spans="3:14" s="38" customFormat="1" ht="14" x14ac:dyDescent="0.15">
      <c r="C13" s="50" t="s">
        <v>20</v>
      </c>
      <c r="D13" s="40"/>
      <c r="E13" s="41"/>
      <c r="F13" s="42"/>
      <c r="G13" s="43"/>
      <c r="H13" s="49"/>
      <c r="I13" s="45" t="s">
        <v>10</v>
      </c>
      <c r="J13" s="46"/>
      <c r="K13" s="47"/>
      <c r="L13" s="47"/>
      <c r="M13" s="47">
        <f t="shared" si="0"/>
        <v>0</v>
      </c>
      <c r="N13" s="48" t="e">
        <f t="shared" si="1"/>
        <v>#DIV/0!</v>
      </c>
    </row>
    <row r="14" spans="3:14" s="38" customFormat="1" ht="14" x14ac:dyDescent="0.15">
      <c r="C14" s="39" t="s">
        <v>21</v>
      </c>
      <c r="D14" s="40"/>
      <c r="E14" s="41"/>
      <c r="F14" s="42"/>
      <c r="G14" s="43" t="s">
        <v>22</v>
      </c>
      <c r="H14" s="49"/>
      <c r="I14" s="45" t="s">
        <v>12</v>
      </c>
      <c r="J14" s="46"/>
      <c r="K14" s="47"/>
      <c r="L14" s="47"/>
      <c r="M14" s="47">
        <f t="shared" si="0"/>
        <v>0</v>
      </c>
      <c r="N14" s="48" t="e">
        <f t="shared" si="1"/>
        <v>#DIV/0!</v>
      </c>
    </row>
    <row r="15" spans="3:14" s="38" customFormat="1" ht="14" x14ac:dyDescent="0.15">
      <c r="C15" s="39" t="s">
        <v>23</v>
      </c>
      <c r="D15" s="40"/>
      <c r="E15" s="41"/>
      <c r="F15" s="42"/>
      <c r="G15" s="43" t="s">
        <v>24</v>
      </c>
      <c r="H15" s="49"/>
      <c r="I15" s="45" t="s">
        <v>12</v>
      </c>
      <c r="J15" s="46"/>
      <c r="K15" s="47"/>
      <c r="L15" s="47"/>
      <c r="M15" s="47">
        <f t="shared" si="0"/>
        <v>0</v>
      </c>
      <c r="N15" s="48" t="e">
        <f t="shared" si="1"/>
        <v>#DIV/0!</v>
      </c>
    </row>
    <row r="16" spans="3:14" s="38" customFormat="1" ht="14" x14ac:dyDescent="0.15">
      <c r="C16" s="51" t="s">
        <v>25</v>
      </c>
      <c r="D16" s="40"/>
      <c r="E16" s="41"/>
      <c r="F16" s="42"/>
      <c r="G16" s="43"/>
      <c r="H16" s="49"/>
      <c r="I16" s="45" t="s">
        <v>12</v>
      </c>
      <c r="J16" s="46"/>
      <c r="K16" s="47"/>
      <c r="L16" s="47"/>
      <c r="M16" s="47">
        <f t="shared" si="0"/>
        <v>0</v>
      </c>
      <c r="N16" s="48" t="e">
        <f t="shared" si="1"/>
        <v>#DIV/0!</v>
      </c>
    </row>
    <row r="17" spans="3:14" s="38" customFormat="1" ht="14" x14ac:dyDescent="0.15">
      <c r="C17" s="51" t="s">
        <v>26</v>
      </c>
      <c r="D17" s="40"/>
      <c r="E17" s="41"/>
      <c r="F17" s="42"/>
      <c r="G17" s="43"/>
      <c r="H17" s="49"/>
      <c r="I17" s="45" t="s">
        <v>12</v>
      </c>
      <c r="J17" s="46"/>
      <c r="K17" s="47"/>
      <c r="L17" s="47"/>
      <c r="M17" s="47">
        <f t="shared" si="0"/>
        <v>0</v>
      </c>
      <c r="N17" s="48" t="e">
        <f t="shared" si="1"/>
        <v>#DIV/0!</v>
      </c>
    </row>
    <row r="18" spans="3:14" s="38" customFormat="1" ht="14" x14ac:dyDescent="0.15">
      <c r="C18" s="51" t="s">
        <v>27</v>
      </c>
      <c r="D18" s="40"/>
      <c r="E18" s="41"/>
      <c r="F18" s="42"/>
      <c r="G18" s="43"/>
      <c r="H18" s="49"/>
      <c r="I18" s="45" t="s">
        <v>12</v>
      </c>
      <c r="J18" s="46"/>
      <c r="K18" s="47"/>
      <c r="L18" s="47"/>
      <c r="M18" s="47">
        <f t="shared" si="0"/>
        <v>0</v>
      </c>
      <c r="N18" s="48" t="e">
        <f t="shared" si="1"/>
        <v>#DIV/0!</v>
      </c>
    </row>
    <row r="19" spans="3:14" s="38" customFormat="1" ht="14" x14ac:dyDescent="0.15">
      <c r="C19" s="51" t="s">
        <v>28</v>
      </c>
      <c r="D19" s="40"/>
      <c r="E19" s="41"/>
      <c r="F19" s="42"/>
      <c r="G19" s="43"/>
      <c r="H19" s="49"/>
      <c r="I19" s="45" t="s">
        <v>12</v>
      </c>
      <c r="J19" s="46"/>
      <c r="K19" s="47"/>
      <c r="L19" s="47"/>
      <c r="M19" s="47"/>
      <c r="N19" s="48"/>
    </row>
    <row r="20" spans="3:14" s="38" customFormat="1" x14ac:dyDescent="0.15">
      <c r="C20" s="52"/>
      <c r="D20" s="53"/>
      <c r="E20" s="41"/>
      <c r="F20" s="42"/>
      <c r="G20" s="43"/>
      <c r="H20" s="49"/>
      <c r="I20" s="54"/>
      <c r="J20" s="46"/>
      <c r="K20" s="47"/>
      <c r="L20" s="47"/>
      <c r="M20" s="47">
        <f t="shared" ref="M20:M28" si="2">MIN(J20:L20)</f>
        <v>0</v>
      </c>
      <c r="N20" s="48" t="e">
        <f t="shared" ref="N20:N28" si="3">SUM(M20/E20)</f>
        <v>#DIV/0!</v>
      </c>
    </row>
    <row r="21" spans="3:14" s="16" customFormat="1" ht="12.75" customHeight="1" x14ac:dyDescent="0.15">
      <c r="C21" s="11" t="s">
        <v>29</v>
      </c>
      <c r="D21" s="11"/>
      <c r="E21" s="10"/>
      <c r="F21" s="10"/>
      <c r="G21" s="10"/>
      <c r="H21" s="55"/>
      <c r="I21" s="12" t="s">
        <v>3</v>
      </c>
      <c r="J21" s="56"/>
      <c r="K21" s="57"/>
      <c r="L21" s="57"/>
      <c r="M21" s="47">
        <f t="shared" si="2"/>
        <v>0</v>
      </c>
      <c r="N21" s="48" t="e">
        <f t="shared" si="3"/>
        <v>#DIV/0!</v>
      </c>
    </row>
    <row r="22" spans="3:14" s="16" customFormat="1" ht="15" customHeight="1" x14ac:dyDescent="0.15">
      <c r="C22" s="11"/>
      <c r="D22" s="11"/>
      <c r="E22" s="58" t="s">
        <v>4</v>
      </c>
      <c r="F22" s="59" t="s">
        <v>5</v>
      </c>
      <c r="G22" s="60" t="s">
        <v>6</v>
      </c>
      <c r="H22" s="61" t="s">
        <v>7</v>
      </c>
      <c r="I22" s="12"/>
      <c r="J22" s="56"/>
      <c r="K22" s="57"/>
      <c r="L22" s="57"/>
      <c r="M22" s="47">
        <f t="shared" si="2"/>
        <v>0</v>
      </c>
      <c r="N22" s="48" t="e">
        <f t="shared" si="3"/>
        <v>#VALUE!</v>
      </c>
    </row>
    <row r="23" spans="3:14" s="38" customFormat="1" ht="14" x14ac:dyDescent="0.15">
      <c r="C23" s="39" t="s">
        <v>30</v>
      </c>
      <c r="D23" s="40"/>
      <c r="E23" s="41">
        <v>48</v>
      </c>
      <c r="F23" s="42"/>
      <c r="G23" s="43">
        <v>1</v>
      </c>
      <c r="H23" s="44"/>
      <c r="I23" s="45" t="s">
        <v>10</v>
      </c>
      <c r="J23" s="46">
        <v>35.99</v>
      </c>
      <c r="K23" s="47">
        <v>41.98</v>
      </c>
      <c r="L23" s="47"/>
      <c r="M23" s="47">
        <f t="shared" si="2"/>
        <v>35.99</v>
      </c>
      <c r="N23" s="48">
        <f t="shared" si="3"/>
        <v>0.74979166666666675</v>
      </c>
    </row>
    <row r="24" spans="3:14" s="38" customFormat="1" ht="14" x14ac:dyDescent="0.15">
      <c r="C24" s="39" t="s">
        <v>31</v>
      </c>
      <c r="D24" s="40"/>
      <c r="E24" s="41"/>
      <c r="F24" s="42"/>
      <c r="G24" s="43">
        <v>1</v>
      </c>
      <c r="H24" s="49"/>
      <c r="I24" s="45" t="s">
        <v>10</v>
      </c>
      <c r="J24" s="46"/>
      <c r="K24" s="47"/>
      <c r="L24" s="47"/>
      <c r="M24" s="47">
        <f t="shared" si="2"/>
        <v>0</v>
      </c>
      <c r="N24" s="48" t="e">
        <f t="shared" si="3"/>
        <v>#DIV/0!</v>
      </c>
    </row>
    <row r="25" spans="3:14" s="38" customFormat="1" ht="14" x14ac:dyDescent="0.15">
      <c r="C25" s="39" t="s">
        <v>32</v>
      </c>
      <c r="D25" s="40"/>
      <c r="E25" s="41">
        <v>36</v>
      </c>
      <c r="F25" s="42"/>
      <c r="G25" s="43">
        <v>1</v>
      </c>
      <c r="H25" s="49"/>
      <c r="I25" s="45" t="s">
        <v>10</v>
      </c>
      <c r="J25" s="46">
        <v>26.49</v>
      </c>
      <c r="K25" s="47">
        <v>32.68</v>
      </c>
      <c r="L25" s="47"/>
      <c r="M25" s="47">
        <f t="shared" si="2"/>
        <v>26.49</v>
      </c>
      <c r="N25" s="48">
        <f t="shared" si="3"/>
        <v>0.73583333333333334</v>
      </c>
    </row>
    <row r="26" spans="3:14" s="38" customFormat="1" ht="14" x14ac:dyDescent="0.15">
      <c r="C26" s="39" t="s">
        <v>33</v>
      </c>
      <c r="D26" s="40"/>
      <c r="E26" s="41">
        <v>48</v>
      </c>
      <c r="F26" s="42"/>
      <c r="G26" s="43">
        <v>1</v>
      </c>
      <c r="H26" s="49"/>
      <c r="I26" s="45" t="s">
        <v>10</v>
      </c>
      <c r="J26" s="46">
        <v>35.99</v>
      </c>
      <c r="K26" s="47">
        <v>41.98</v>
      </c>
      <c r="L26" s="47"/>
      <c r="M26" s="47">
        <f t="shared" si="2"/>
        <v>35.99</v>
      </c>
      <c r="N26" s="48">
        <f t="shared" si="3"/>
        <v>0.74979166666666675</v>
      </c>
    </row>
    <row r="27" spans="3:14" s="38" customFormat="1" ht="14" x14ac:dyDescent="0.15">
      <c r="C27" s="39" t="s">
        <v>34</v>
      </c>
      <c r="D27" s="40"/>
      <c r="E27" s="41">
        <v>36</v>
      </c>
      <c r="F27" s="42"/>
      <c r="G27" s="43">
        <v>1</v>
      </c>
      <c r="H27" s="49"/>
      <c r="I27" s="45" t="s">
        <v>10</v>
      </c>
      <c r="J27" s="46">
        <v>27.49</v>
      </c>
      <c r="K27" s="47">
        <v>32.119999999999997</v>
      </c>
      <c r="L27" s="47"/>
      <c r="M27" s="47">
        <f t="shared" si="2"/>
        <v>27.49</v>
      </c>
      <c r="N27" s="48">
        <f t="shared" si="3"/>
        <v>0.76361111111111102</v>
      </c>
    </row>
    <row r="28" spans="3:14" s="38" customFormat="1" ht="14" x14ac:dyDescent="0.15">
      <c r="C28" s="39" t="s">
        <v>35</v>
      </c>
      <c r="D28" s="40"/>
      <c r="E28" s="41"/>
      <c r="F28" s="42"/>
      <c r="G28" s="43">
        <v>1</v>
      </c>
      <c r="H28" s="49"/>
      <c r="I28" s="45" t="s">
        <v>10</v>
      </c>
      <c r="J28" s="46"/>
      <c r="K28" s="47"/>
      <c r="L28" s="47"/>
      <c r="M28" s="47">
        <f t="shared" si="2"/>
        <v>0</v>
      </c>
      <c r="N28" s="48" t="e">
        <f t="shared" si="3"/>
        <v>#DIV/0!</v>
      </c>
    </row>
    <row r="29" spans="3:14" s="38" customFormat="1" ht="14" x14ac:dyDescent="0.15">
      <c r="C29" s="51" t="s">
        <v>36</v>
      </c>
      <c r="D29" s="40"/>
      <c r="E29" s="41"/>
      <c r="F29" s="42"/>
      <c r="G29" s="43">
        <v>1</v>
      </c>
      <c r="H29" s="49"/>
      <c r="I29" s="45" t="s">
        <v>10</v>
      </c>
      <c r="J29" s="46"/>
      <c r="K29" s="47"/>
      <c r="L29" s="47"/>
      <c r="M29" s="47"/>
      <c r="N29" s="48"/>
    </row>
    <row r="30" spans="3:14" s="38" customFormat="1" ht="14" x14ac:dyDescent="0.15">
      <c r="C30" s="50" t="s">
        <v>37</v>
      </c>
      <c r="D30" s="40"/>
      <c r="E30" s="41">
        <v>9</v>
      </c>
      <c r="F30" s="42"/>
      <c r="G30" s="43">
        <v>1</v>
      </c>
      <c r="H30" s="49"/>
      <c r="I30" s="45" t="s">
        <v>10</v>
      </c>
      <c r="J30" s="46">
        <v>18.989999999999998</v>
      </c>
      <c r="K30" s="47">
        <v>15.98</v>
      </c>
      <c r="L30" s="47"/>
      <c r="M30" s="47">
        <f t="shared" ref="M30:M71" si="4">MIN(J30:L30)</f>
        <v>15.98</v>
      </c>
      <c r="N30" s="48">
        <f t="shared" ref="N30:N71" si="5">SUM(M30/E30)</f>
        <v>1.7755555555555556</v>
      </c>
    </row>
    <row r="31" spans="3:14" s="38" customFormat="1" ht="14" x14ac:dyDescent="0.15">
      <c r="C31" s="50" t="s">
        <v>38</v>
      </c>
      <c r="D31" s="40"/>
      <c r="E31" s="41">
        <v>40</v>
      </c>
      <c r="F31" s="42"/>
      <c r="G31" s="43">
        <v>1</v>
      </c>
      <c r="H31" s="49"/>
      <c r="I31" s="45" t="s">
        <v>39</v>
      </c>
      <c r="J31" s="46"/>
      <c r="K31" s="47">
        <v>13.98</v>
      </c>
      <c r="L31" s="47"/>
      <c r="M31" s="47">
        <f t="shared" si="4"/>
        <v>13.98</v>
      </c>
      <c r="N31" s="48">
        <f t="shared" si="5"/>
        <v>0.34950000000000003</v>
      </c>
    </row>
    <row r="32" spans="3:14" s="38" customFormat="1" ht="14" x14ac:dyDescent="0.15">
      <c r="C32" s="50" t="s">
        <v>40</v>
      </c>
      <c r="D32" s="40"/>
      <c r="E32" s="41">
        <v>24</v>
      </c>
      <c r="F32" s="42"/>
      <c r="G32" s="43">
        <v>1</v>
      </c>
      <c r="H32" s="49"/>
      <c r="I32" s="45" t="s">
        <v>10</v>
      </c>
      <c r="J32" s="46"/>
      <c r="K32" s="47">
        <v>10.88</v>
      </c>
      <c r="L32" s="47"/>
      <c r="M32" s="47">
        <f t="shared" si="4"/>
        <v>10.88</v>
      </c>
      <c r="N32" s="48">
        <f t="shared" si="5"/>
        <v>0.45333333333333337</v>
      </c>
    </row>
    <row r="33" spans="3:14" s="38" customFormat="1" ht="14" x14ac:dyDescent="0.15">
      <c r="C33" s="50" t="s">
        <v>41</v>
      </c>
      <c r="D33" s="40"/>
      <c r="E33" s="41"/>
      <c r="F33" s="42"/>
      <c r="G33" s="43">
        <v>1</v>
      </c>
      <c r="H33" s="49"/>
      <c r="I33" s="45" t="s">
        <v>10</v>
      </c>
      <c r="J33" s="46"/>
      <c r="K33" s="47"/>
      <c r="L33" s="47"/>
      <c r="M33" s="47">
        <f t="shared" si="4"/>
        <v>0</v>
      </c>
      <c r="N33" s="48" t="e">
        <f t="shared" si="5"/>
        <v>#DIV/0!</v>
      </c>
    </row>
    <row r="34" spans="3:14" s="38" customFormat="1" x14ac:dyDescent="0.15">
      <c r="C34" s="39"/>
      <c r="D34" s="40"/>
      <c r="E34" s="41"/>
      <c r="F34" s="42"/>
      <c r="G34" s="43"/>
      <c r="H34" s="49"/>
      <c r="I34" s="45"/>
      <c r="J34" s="46"/>
      <c r="K34" s="47"/>
      <c r="L34" s="47"/>
      <c r="M34" s="47">
        <f t="shared" si="4"/>
        <v>0</v>
      </c>
      <c r="N34" s="48" t="e">
        <f t="shared" si="5"/>
        <v>#DIV/0!</v>
      </c>
    </row>
    <row r="35" spans="3:14" s="38" customFormat="1" ht="14" x14ac:dyDescent="0.15">
      <c r="C35" s="50" t="s">
        <v>42</v>
      </c>
      <c r="D35" s="40"/>
      <c r="E35" s="41">
        <v>18</v>
      </c>
      <c r="F35" s="42"/>
      <c r="G35" s="43">
        <v>2</v>
      </c>
      <c r="H35" s="49"/>
      <c r="I35" s="45" t="s">
        <v>10</v>
      </c>
      <c r="J35" s="46">
        <v>20.49</v>
      </c>
      <c r="K35" s="47">
        <v>12.91</v>
      </c>
      <c r="L35" s="47"/>
      <c r="M35" s="47">
        <f t="shared" si="4"/>
        <v>12.91</v>
      </c>
      <c r="N35" s="48">
        <f t="shared" si="5"/>
        <v>0.71722222222222221</v>
      </c>
    </row>
    <row r="36" spans="3:14" s="38" customFormat="1" ht="14" x14ac:dyDescent="0.15">
      <c r="C36" s="50" t="s">
        <v>43</v>
      </c>
      <c r="D36" s="40"/>
      <c r="E36" s="41"/>
      <c r="F36" s="42"/>
      <c r="G36" s="43">
        <v>1</v>
      </c>
      <c r="H36" s="49"/>
      <c r="I36" s="45" t="s">
        <v>10</v>
      </c>
      <c r="J36" s="46"/>
      <c r="K36" s="47"/>
      <c r="L36" s="47"/>
      <c r="M36" s="47">
        <f t="shared" si="4"/>
        <v>0</v>
      </c>
      <c r="N36" s="48" t="e">
        <f t="shared" si="5"/>
        <v>#DIV/0!</v>
      </c>
    </row>
    <row r="37" spans="3:14" s="38" customFormat="1" ht="14" x14ac:dyDescent="0.15">
      <c r="C37" s="50" t="s">
        <v>44</v>
      </c>
      <c r="D37" s="40"/>
      <c r="E37" s="41"/>
      <c r="F37" s="42"/>
      <c r="G37" s="43">
        <v>1</v>
      </c>
      <c r="H37" s="49"/>
      <c r="I37" s="45" t="s">
        <v>10</v>
      </c>
      <c r="J37" s="46"/>
      <c r="K37" s="47"/>
      <c r="L37" s="47"/>
      <c r="M37" s="47">
        <f t="shared" si="4"/>
        <v>0</v>
      </c>
      <c r="N37" s="48" t="e">
        <f t="shared" si="5"/>
        <v>#DIV/0!</v>
      </c>
    </row>
    <row r="38" spans="3:14" s="38" customFormat="1" x14ac:dyDescent="0.15">
      <c r="C38" s="39"/>
      <c r="D38" s="40"/>
      <c r="E38" s="41"/>
      <c r="F38" s="42"/>
      <c r="G38" s="43"/>
      <c r="H38" s="49"/>
      <c r="I38" s="45"/>
      <c r="J38" s="46">
        <v>9.59</v>
      </c>
      <c r="K38" s="47"/>
      <c r="L38" s="47"/>
      <c r="M38" s="47">
        <f t="shared" si="4"/>
        <v>9.59</v>
      </c>
      <c r="N38" s="48" t="e">
        <f t="shared" si="5"/>
        <v>#DIV/0!</v>
      </c>
    </row>
    <row r="39" spans="3:14" s="38" customFormat="1" ht="14" x14ac:dyDescent="0.15">
      <c r="C39" s="50" t="s">
        <v>45</v>
      </c>
      <c r="D39" s="40"/>
      <c r="E39" s="41">
        <v>6</v>
      </c>
      <c r="F39" s="42"/>
      <c r="G39" s="43">
        <v>1</v>
      </c>
      <c r="H39" s="49"/>
      <c r="I39" s="45" t="s">
        <v>10</v>
      </c>
      <c r="J39" s="46">
        <v>4.6900000000000004</v>
      </c>
      <c r="K39" s="47"/>
      <c r="L39" s="47"/>
      <c r="M39" s="47">
        <f t="shared" si="4"/>
        <v>4.6900000000000004</v>
      </c>
      <c r="N39" s="48">
        <f t="shared" si="5"/>
        <v>0.78166666666666673</v>
      </c>
    </row>
    <row r="40" spans="3:14" s="38" customFormat="1" ht="14" x14ac:dyDescent="0.15">
      <c r="C40" s="50" t="s">
        <v>46</v>
      </c>
      <c r="D40" s="40"/>
      <c r="E40" s="41">
        <v>6</v>
      </c>
      <c r="F40" s="42"/>
      <c r="G40" s="43">
        <v>1</v>
      </c>
      <c r="H40" s="49"/>
      <c r="I40" s="45" t="s">
        <v>10</v>
      </c>
      <c r="J40" s="46">
        <v>4.6900000000000004</v>
      </c>
      <c r="K40" s="47"/>
      <c r="L40" s="47"/>
      <c r="M40" s="47">
        <f t="shared" si="4"/>
        <v>4.6900000000000004</v>
      </c>
      <c r="N40" s="48">
        <f t="shared" si="5"/>
        <v>0.78166666666666673</v>
      </c>
    </row>
    <row r="41" spans="3:14" s="38" customFormat="1" ht="14" x14ac:dyDescent="0.15">
      <c r="C41" s="50" t="s">
        <v>47</v>
      </c>
      <c r="D41" s="40"/>
      <c r="E41" s="41">
        <v>6</v>
      </c>
      <c r="F41" s="42"/>
      <c r="G41" s="43">
        <v>1</v>
      </c>
      <c r="H41" s="49"/>
      <c r="I41" s="45" t="s">
        <v>10</v>
      </c>
      <c r="J41" s="46">
        <v>4.6900000000000004</v>
      </c>
      <c r="K41" s="47"/>
      <c r="L41" s="47"/>
      <c r="M41" s="47">
        <f t="shared" si="4"/>
        <v>4.6900000000000004</v>
      </c>
      <c r="N41" s="48">
        <f t="shared" si="5"/>
        <v>0.78166666666666673</v>
      </c>
    </row>
    <row r="42" spans="3:14" s="38" customFormat="1" ht="14" x14ac:dyDescent="0.15">
      <c r="C42" s="39" t="s">
        <v>48</v>
      </c>
      <c r="D42" s="40"/>
      <c r="E42" s="41"/>
      <c r="F42" s="42"/>
      <c r="G42" s="43"/>
      <c r="H42" s="49"/>
      <c r="I42" s="45" t="s">
        <v>12</v>
      </c>
      <c r="J42" s="46"/>
      <c r="K42" s="47"/>
      <c r="L42" s="47"/>
      <c r="M42" s="47">
        <f t="shared" si="4"/>
        <v>0</v>
      </c>
      <c r="N42" s="48" t="e">
        <f t="shared" si="5"/>
        <v>#DIV/0!</v>
      </c>
    </row>
    <row r="43" spans="3:14" s="38" customFormat="1" x14ac:dyDescent="0.15">
      <c r="C43" s="39"/>
      <c r="D43" s="40"/>
      <c r="E43" s="41"/>
      <c r="F43" s="42"/>
      <c r="G43" s="43"/>
      <c r="H43" s="49"/>
      <c r="I43" s="45"/>
      <c r="J43" s="46"/>
      <c r="K43" s="47"/>
      <c r="L43" s="47"/>
      <c r="M43" s="47">
        <f t="shared" si="4"/>
        <v>0</v>
      </c>
      <c r="N43" s="48" t="e">
        <f t="shared" si="5"/>
        <v>#DIV/0!</v>
      </c>
    </row>
    <row r="44" spans="3:14" s="38" customFormat="1" ht="14" x14ac:dyDescent="0.15">
      <c r="C44" s="39" t="s">
        <v>49</v>
      </c>
      <c r="D44" s="40"/>
      <c r="E44" s="41"/>
      <c r="F44" s="42"/>
      <c r="G44" s="43">
        <v>1</v>
      </c>
      <c r="H44" s="49"/>
      <c r="I44" s="45" t="s">
        <v>12</v>
      </c>
      <c r="J44" s="46"/>
      <c r="K44" s="47"/>
      <c r="L44" s="47"/>
      <c r="M44" s="47">
        <f t="shared" si="4"/>
        <v>0</v>
      </c>
      <c r="N44" s="48" t="e">
        <f t="shared" si="5"/>
        <v>#DIV/0!</v>
      </c>
    </row>
    <row r="45" spans="3:14" s="38" customFormat="1" ht="14" x14ac:dyDescent="0.15">
      <c r="C45" s="39" t="s">
        <v>50</v>
      </c>
      <c r="D45" s="40"/>
      <c r="E45" s="41"/>
      <c r="F45" s="42"/>
      <c r="G45" s="43">
        <v>1</v>
      </c>
      <c r="H45" s="49"/>
      <c r="I45" s="45" t="s">
        <v>12</v>
      </c>
      <c r="J45" s="46"/>
      <c r="K45" s="47"/>
      <c r="L45" s="47"/>
      <c r="M45" s="47">
        <f t="shared" si="4"/>
        <v>0</v>
      </c>
      <c r="N45" s="48" t="e">
        <f t="shared" si="5"/>
        <v>#DIV/0!</v>
      </c>
    </row>
    <row r="46" spans="3:14" s="38" customFormat="1" ht="14" x14ac:dyDescent="0.15">
      <c r="C46" s="39" t="s">
        <v>51</v>
      </c>
      <c r="D46" s="40"/>
      <c r="E46" s="41"/>
      <c r="F46" s="42"/>
      <c r="G46" s="43">
        <v>1</v>
      </c>
      <c r="H46" s="49"/>
      <c r="I46" s="45" t="s">
        <v>12</v>
      </c>
      <c r="J46" s="46"/>
      <c r="K46" s="47"/>
      <c r="L46" s="47"/>
      <c r="M46" s="47">
        <f t="shared" si="4"/>
        <v>0</v>
      </c>
      <c r="N46" s="48" t="e">
        <f t="shared" si="5"/>
        <v>#DIV/0!</v>
      </c>
    </row>
    <row r="47" spans="3:14" s="38" customFormat="1" ht="14" x14ac:dyDescent="0.15">
      <c r="C47" s="50" t="s">
        <v>52</v>
      </c>
      <c r="D47" s="40"/>
      <c r="E47" s="41"/>
      <c r="F47" s="42"/>
      <c r="G47" s="43">
        <v>1</v>
      </c>
      <c r="H47" s="49"/>
      <c r="I47" s="45" t="s">
        <v>12</v>
      </c>
      <c r="J47" s="46"/>
      <c r="K47" s="47"/>
      <c r="L47" s="47"/>
      <c r="M47" s="47">
        <f t="shared" si="4"/>
        <v>0</v>
      </c>
      <c r="N47" s="48" t="e">
        <f t="shared" si="5"/>
        <v>#DIV/0!</v>
      </c>
    </row>
    <row r="48" spans="3:14" s="38" customFormat="1" ht="14" x14ac:dyDescent="0.15">
      <c r="C48" s="39" t="s">
        <v>53</v>
      </c>
      <c r="D48" s="40"/>
      <c r="E48" s="41">
        <v>60</v>
      </c>
      <c r="F48" s="42"/>
      <c r="G48" s="43">
        <v>1</v>
      </c>
      <c r="H48" s="49"/>
      <c r="I48" s="45" t="s">
        <v>10</v>
      </c>
      <c r="J48" s="46"/>
      <c r="K48" s="47">
        <v>14.98</v>
      </c>
      <c r="L48" s="47"/>
      <c r="M48" s="47">
        <f t="shared" si="4"/>
        <v>14.98</v>
      </c>
      <c r="N48" s="48">
        <f t="shared" si="5"/>
        <v>0.24966666666666668</v>
      </c>
    </row>
    <row r="49" spans="3:14" s="38" customFormat="1" ht="14" x14ac:dyDescent="0.15">
      <c r="C49" s="39" t="s">
        <v>54</v>
      </c>
      <c r="D49" s="40"/>
      <c r="E49" s="41">
        <v>30</v>
      </c>
      <c r="F49" s="42"/>
      <c r="G49" s="43">
        <v>2</v>
      </c>
      <c r="H49" s="49"/>
      <c r="I49" s="45" t="s">
        <v>10</v>
      </c>
      <c r="J49" s="46">
        <v>19.989999999999998</v>
      </c>
      <c r="K49" s="47">
        <v>18.48</v>
      </c>
      <c r="L49" s="47"/>
      <c r="M49" s="47">
        <f t="shared" si="4"/>
        <v>18.48</v>
      </c>
      <c r="N49" s="48">
        <f t="shared" si="5"/>
        <v>0.61599999999999999</v>
      </c>
    </row>
    <row r="50" spans="3:14" s="38" customFormat="1" ht="14" x14ac:dyDescent="0.15">
      <c r="C50" s="51" t="s">
        <v>55</v>
      </c>
      <c r="D50" s="40"/>
      <c r="E50" s="41"/>
      <c r="F50" s="42"/>
      <c r="G50" s="43"/>
      <c r="H50" s="49"/>
      <c r="I50" s="45" t="s">
        <v>12</v>
      </c>
      <c r="J50" s="46"/>
      <c r="K50" s="47"/>
      <c r="L50" s="47"/>
      <c r="M50" s="47">
        <f t="shared" si="4"/>
        <v>0</v>
      </c>
      <c r="N50" s="48" t="e">
        <f t="shared" si="5"/>
        <v>#DIV/0!</v>
      </c>
    </row>
    <row r="51" spans="3:14" s="38" customFormat="1" x14ac:dyDescent="0.15">
      <c r="C51" s="51"/>
      <c r="D51" s="40"/>
      <c r="E51" s="41"/>
      <c r="F51" s="42"/>
      <c r="G51" s="43"/>
      <c r="H51" s="49"/>
      <c r="I51" s="45"/>
      <c r="J51" s="46"/>
      <c r="K51" s="47"/>
      <c r="L51" s="47"/>
      <c r="M51" s="47">
        <f t="shared" si="4"/>
        <v>0</v>
      </c>
      <c r="N51" s="48" t="e">
        <f t="shared" si="5"/>
        <v>#DIV/0!</v>
      </c>
    </row>
    <row r="52" spans="3:14" s="38" customFormat="1" x14ac:dyDescent="0.15">
      <c r="C52" s="51"/>
      <c r="D52" s="40"/>
      <c r="E52" s="41"/>
      <c r="F52" s="42"/>
      <c r="G52" s="43"/>
      <c r="H52" s="49"/>
      <c r="I52" s="45"/>
      <c r="J52" s="46"/>
      <c r="K52" s="47"/>
      <c r="L52" s="47"/>
      <c r="M52" s="47">
        <f t="shared" si="4"/>
        <v>0</v>
      </c>
      <c r="N52" s="48" t="e">
        <f t="shared" si="5"/>
        <v>#DIV/0!</v>
      </c>
    </row>
    <row r="53" spans="3:14" s="38" customFormat="1" ht="14" x14ac:dyDescent="0.15">
      <c r="C53" s="51" t="s">
        <v>56</v>
      </c>
      <c r="D53" s="40"/>
      <c r="E53" s="41"/>
      <c r="F53" s="42"/>
      <c r="G53" s="43"/>
      <c r="H53" s="49"/>
      <c r="I53" s="45" t="s">
        <v>12</v>
      </c>
      <c r="J53" s="46"/>
      <c r="K53" s="47"/>
      <c r="L53" s="47"/>
      <c r="M53" s="47">
        <f t="shared" si="4"/>
        <v>0</v>
      </c>
      <c r="N53" s="48" t="e">
        <f t="shared" si="5"/>
        <v>#DIV/0!</v>
      </c>
    </row>
    <row r="54" spans="3:14" s="38" customFormat="1" ht="14" x14ac:dyDescent="0.15">
      <c r="C54" s="51" t="s">
        <v>57</v>
      </c>
      <c r="D54" s="40"/>
      <c r="E54" s="41"/>
      <c r="F54" s="42"/>
      <c r="G54" s="43"/>
      <c r="H54" s="49"/>
      <c r="I54" s="45" t="s">
        <v>12</v>
      </c>
      <c r="J54" s="46"/>
      <c r="K54" s="47"/>
      <c r="L54" s="47"/>
      <c r="M54" s="47">
        <f t="shared" si="4"/>
        <v>0</v>
      </c>
      <c r="N54" s="48" t="e">
        <f t="shared" si="5"/>
        <v>#DIV/0!</v>
      </c>
    </row>
    <row r="55" spans="3:14" s="38" customFormat="1" ht="14" x14ac:dyDescent="0.15">
      <c r="C55" s="51" t="s">
        <v>58</v>
      </c>
      <c r="D55" s="40"/>
      <c r="E55" s="41"/>
      <c r="F55" s="42"/>
      <c r="G55" s="43"/>
      <c r="H55" s="49"/>
      <c r="I55" s="45" t="s">
        <v>12</v>
      </c>
      <c r="J55" s="46"/>
      <c r="K55" s="47"/>
      <c r="L55" s="47"/>
      <c r="M55" s="47">
        <f t="shared" si="4"/>
        <v>0</v>
      </c>
      <c r="N55" s="48" t="e">
        <f t="shared" si="5"/>
        <v>#DIV/0!</v>
      </c>
    </row>
    <row r="56" spans="3:14" s="38" customFormat="1" ht="14" x14ac:dyDescent="0.15">
      <c r="C56" s="51" t="s">
        <v>59</v>
      </c>
      <c r="D56" s="40"/>
      <c r="E56" s="41"/>
      <c r="F56" s="42"/>
      <c r="G56" s="43"/>
      <c r="H56" s="49"/>
      <c r="I56" s="45" t="s">
        <v>12</v>
      </c>
      <c r="J56" s="46"/>
      <c r="K56" s="47"/>
      <c r="L56" s="47"/>
      <c r="M56" s="47">
        <f t="shared" si="4"/>
        <v>0</v>
      </c>
      <c r="N56" s="48" t="e">
        <f t="shared" si="5"/>
        <v>#DIV/0!</v>
      </c>
    </row>
    <row r="57" spans="3:14" s="38" customFormat="1" ht="14" x14ac:dyDescent="0.15">
      <c r="C57" s="51" t="s">
        <v>60</v>
      </c>
      <c r="D57" s="40"/>
      <c r="E57" s="41"/>
      <c r="F57" s="42"/>
      <c r="G57" s="43"/>
      <c r="H57" s="49"/>
      <c r="I57" s="45" t="s">
        <v>12</v>
      </c>
      <c r="J57" s="46"/>
      <c r="K57" s="47"/>
      <c r="L57" s="47"/>
      <c r="M57" s="47">
        <f t="shared" si="4"/>
        <v>0</v>
      </c>
      <c r="N57" s="48" t="e">
        <f t="shared" si="5"/>
        <v>#DIV/0!</v>
      </c>
    </row>
    <row r="58" spans="3:14" s="38" customFormat="1" ht="14" x14ac:dyDescent="0.15">
      <c r="C58" s="51" t="s">
        <v>61</v>
      </c>
      <c r="D58" s="40"/>
      <c r="E58" s="41"/>
      <c r="F58" s="42"/>
      <c r="G58" s="43"/>
      <c r="H58" s="49"/>
      <c r="I58" s="45" t="s">
        <v>12</v>
      </c>
      <c r="J58" s="46"/>
      <c r="K58" s="47"/>
      <c r="L58" s="47"/>
      <c r="M58" s="47">
        <f t="shared" si="4"/>
        <v>0</v>
      </c>
      <c r="N58" s="48" t="e">
        <f t="shared" si="5"/>
        <v>#DIV/0!</v>
      </c>
    </row>
    <row r="59" spans="3:14" s="38" customFormat="1" x14ac:dyDescent="0.15">
      <c r="C59" s="51"/>
      <c r="D59" s="40"/>
      <c r="E59" s="41"/>
      <c r="F59" s="42"/>
      <c r="G59" s="43"/>
      <c r="H59" s="49"/>
      <c r="I59" s="54"/>
      <c r="J59" s="46"/>
      <c r="K59" s="47"/>
      <c r="L59" s="47"/>
      <c r="M59" s="47">
        <f t="shared" si="4"/>
        <v>0</v>
      </c>
      <c r="N59" s="48" t="e">
        <f t="shared" si="5"/>
        <v>#DIV/0!</v>
      </c>
    </row>
    <row r="60" spans="3:14" s="16" customFormat="1" ht="12.75" customHeight="1" x14ac:dyDescent="0.15">
      <c r="C60" s="11" t="s">
        <v>62</v>
      </c>
      <c r="D60" s="11"/>
      <c r="E60" s="10"/>
      <c r="F60" s="10"/>
      <c r="G60" s="10"/>
      <c r="H60" s="55"/>
      <c r="I60" s="12" t="s">
        <v>3</v>
      </c>
      <c r="J60" s="56"/>
      <c r="K60" s="57"/>
      <c r="L60" s="57"/>
      <c r="M60" s="47">
        <f t="shared" si="4"/>
        <v>0</v>
      </c>
      <c r="N60" s="48" t="e">
        <f t="shared" si="5"/>
        <v>#DIV/0!</v>
      </c>
    </row>
    <row r="61" spans="3:14" s="16" customFormat="1" ht="15" customHeight="1" x14ac:dyDescent="0.15">
      <c r="C61" s="11"/>
      <c r="D61" s="11"/>
      <c r="E61" s="58" t="s">
        <v>63</v>
      </c>
      <c r="F61" s="59" t="s">
        <v>5</v>
      </c>
      <c r="G61" s="60" t="s">
        <v>6</v>
      </c>
      <c r="H61" s="61" t="s">
        <v>7</v>
      </c>
      <c r="I61" s="12"/>
      <c r="J61" s="56"/>
      <c r="K61" s="57"/>
      <c r="L61" s="57"/>
      <c r="M61" s="47">
        <f t="shared" si="4"/>
        <v>0</v>
      </c>
      <c r="N61" s="48" t="e">
        <f t="shared" si="5"/>
        <v>#VALUE!</v>
      </c>
    </row>
    <row r="62" spans="3:14" s="38" customFormat="1" x14ac:dyDescent="0.15">
      <c r="C62" s="51"/>
      <c r="D62" s="40"/>
      <c r="E62" s="41"/>
      <c r="F62" s="42"/>
      <c r="G62" s="43"/>
      <c r="H62" s="49"/>
      <c r="I62" s="54"/>
      <c r="J62" s="46"/>
      <c r="K62" s="47"/>
      <c r="L62" s="47"/>
      <c r="M62" s="47">
        <f t="shared" si="4"/>
        <v>0</v>
      </c>
      <c r="N62" s="48" t="e">
        <f t="shared" si="5"/>
        <v>#DIV/0!</v>
      </c>
    </row>
    <row r="63" spans="3:14" s="38" customFormat="1" ht="14" x14ac:dyDescent="0.15">
      <c r="C63" s="51" t="s">
        <v>64</v>
      </c>
      <c r="D63" s="40"/>
      <c r="E63" s="41">
        <v>12</v>
      </c>
      <c r="F63" s="42"/>
      <c r="G63" s="43">
        <v>36</v>
      </c>
      <c r="H63" s="49"/>
      <c r="I63" s="45" t="s">
        <v>10</v>
      </c>
      <c r="J63" s="46"/>
      <c r="K63" s="47">
        <v>8.68</v>
      </c>
      <c r="L63" s="47"/>
      <c r="M63" s="47">
        <f t="shared" si="4"/>
        <v>8.68</v>
      </c>
      <c r="N63" s="48">
        <f t="shared" si="5"/>
        <v>0.72333333333333327</v>
      </c>
    </row>
    <row r="64" spans="3:14" s="38" customFormat="1" ht="14" x14ac:dyDescent="0.15">
      <c r="C64" s="51" t="s">
        <v>65</v>
      </c>
      <c r="D64" s="40"/>
      <c r="E64" s="41"/>
      <c r="F64" s="42"/>
      <c r="G64" s="43">
        <v>1</v>
      </c>
      <c r="H64" s="49"/>
      <c r="I64" s="45" t="s">
        <v>12</v>
      </c>
      <c r="J64" s="46"/>
      <c r="K64" s="47"/>
      <c r="L64" s="47"/>
      <c r="M64" s="47">
        <f t="shared" si="4"/>
        <v>0</v>
      </c>
      <c r="N64" s="48" t="e">
        <f t="shared" si="5"/>
        <v>#DIV/0!</v>
      </c>
    </row>
    <row r="65" spans="3:14" s="38" customFormat="1" ht="14" x14ac:dyDescent="0.15">
      <c r="C65" s="51" t="s">
        <v>66</v>
      </c>
      <c r="D65" s="40"/>
      <c r="E65" s="41"/>
      <c r="F65" s="42"/>
      <c r="G65" s="43"/>
      <c r="H65" s="49"/>
      <c r="I65" s="45" t="s">
        <v>10</v>
      </c>
      <c r="J65" s="46"/>
      <c r="K65" s="47"/>
      <c r="L65" s="47"/>
      <c r="M65" s="47">
        <f t="shared" si="4"/>
        <v>0</v>
      </c>
      <c r="N65" s="48" t="e">
        <f t="shared" si="5"/>
        <v>#DIV/0!</v>
      </c>
    </row>
    <row r="66" spans="3:14" s="38" customFormat="1" ht="14" x14ac:dyDescent="0.15">
      <c r="C66" s="51" t="s">
        <v>67</v>
      </c>
      <c r="D66" s="40"/>
      <c r="E66" s="41"/>
      <c r="F66" s="42"/>
      <c r="G66" s="43"/>
      <c r="H66" s="49"/>
      <c r="I66" s="45" t="s">
        <v>12</v>
      </c>
      <c r="J66" s="46"/>
      <c r="K66" s="47"/>
      <c r="L66" s="47"/>
      <c r="M66" s="47">
        <f t="shared" si="4"/>
        <v>0</v>
      </c>
      <c r="N66" s="48" t="e">
        <f t="shared" si="5"/>
        <v>#DIV/0!</v>
      </c>
    </row>
    <row r="67" spans="3:14" s="38" customFormat="1" x14ac:dyDescent="0.15">
      <c r="C67" s="51"/>
      <c r="D67" s="42"/>
      <c r="E67" s="41"/>
      <c r="F67" s="42"/>
      <c r="G67" s="43"/>
      <c r="H67" s="49"/>
      <c r="I67" s="54"/>
      <c r="J67" s="46"/>
      <c r="K67" s="47"/>
      <c r="L67" s="47"/>
      <c r="M67" s="47">
        <f t="shared" si="4"/>
        <v>0</v>
      </c>
      <c r="N67" s="48" t="e">
        <f t="shared" si="5"/>
        <v>#DIV/0!</v>
      </c>
    </row>
    <row r="68" spans="3:14" s="16" customFormat="1" ht="12.75" customHeight="1" x14ac:dyDescent="0.15">
      <c r="C68" s="11" t="s">
        <v>68</v>
      </c>
      <c r="D68" s="11"/>
      <c r="E68" s="10"/>
      <c r="F68" s="10"/>
      <c r="G68" s="10"/>
      <c r="H68" s="55"/>
      <c r="I68" s="12" t="s">
        <v>3</v>
      </c>
      <c r="J68" s="56"/>
      <c r="K68" s="57"/>
      <c r="L68" s="57"/>
      <c r="M68" s="47">
        <f t="shared" si="4"/>
        <v>0</v>
      </c>
      <c r="N68" s="48" t="e">
        <f t="shared" si="5"/>
        <v>#DIV/0!</v>
      </c>
    </row>
    <row r="69" spans="3:14" s="16" customFormat="1" ht="15" customHeight="1" x14ac:dyDescent="0.15">
      <c r="C69" s="11"/>
      <c r="D69" s="11"/>
      <c r="E69" s="58" t="s">
        <v>5</v>
      </c>
      <c r="F69" s="59"/>
      <c r="G69" s="60" t="s">
        <v>6</v>
      </c>
      <c r="H69" s="61" t="s">
        <v>7</v>
      </c>
      <c r="I69" s="12"/>
      <c r="J69" s="56"/>
      <c r="K69" s="57"/>
      <c r="L69" s="57"/>
      <c r="M69" s="47">
        <f t="shared" si="4"/>
        <v>0</v>
      </c>
      <c r="N69" s="48" t="e">
        <f t="shared" si="5"/>
        <v>#VALUE!</v>
      </c>
    </row>
    <row r="70" spans="3:14" s="38" customFormat="1" ht="14" x14ac:dyDescent="0.15">
      <c r="C70" s="51" t="s">
        <v>69</v>
      </c>
      <c r="D70" s="40"/>
      <c r="E70" s="41"/>
      <c r="F70" s="42"/>
      <c r="G70" s="43"/>
      <c r="H70" s="49"/>
      <c r="I70" s="45" t="s">
        <v>70</v>
      </c>
      <c r="J70" s="46"/>
      <c r="K70" s="47"/>
      <c r="L70" s="47"/>
      <c r="M70" s="47">
        <f t="shared" si="4"/>
        <v>0</v>
      </c>
      <c r="N70" s="48" t="e">
        <f t="shared" si="5"/>
        <v>#DIV/0!</v>
      </c>
    </row>
    <row r="71" spans="3:14" s="38" customFormat="1" ht="14" x14ac:dyDescent="0.15">
      <c r="C71" s="51" t="s">
        <v>71</v>
      </c>
      <c r="D71" s="40"/>
      <c r="E71" s="41"/>
      <c r="F71" s="42"/>
      <c r="G71" s="43"/>
      <c r="H71" s="49"/>
      <c r="I71" s="45" t="s">
        <v>70</v>
      </c>
      <c r="J71" s="46"/>
      <c r="K71" s="47"/>
      <c r="L71" s="47"/>
      <c r="M71" s="47">
        <f t="shared" si="4"/>
        <v>0</v>
      </c>
      <c r="N71" s="48" t="e">
        <f t="shared" si="5"/>
        <v>#DIV/0!</v>
      </c>
    </row>
    <row r="72" spans="3:14" s="38" customFormat="1" ht="14" x14ac:dyDescent="0.15">
      <c r="C72" s="51" t="s">
        <v>72</v>
      </c>
      <c r="D72" s="40"/>
      <c r="E72" s="41"/>
      <c r="F72" s="42"/>
      <c r="G72" s="43"/>
      <c r="H72" s="49"/>
      <c r="I72" s="45" t="s">
        <v>70</v>
      </c>
      <c r="J72" s="46"/>
      <c r="K72" s="47"/>
      <c r="L72" s="47"/>
      <c r="M72" s="47"/>
      <c r="N72" s="48"/>
    </row>
    <row r="73" spans="3:14" s="38" customFormat="1" ht="14" x14ac:dyDescent="0.15">
      <c r="C73" s="51" t="s">
        <v>73</v>
      </c>
      <c r="D73" s="40"/>
      <c r="E73" s="41"/>
      <c r="F73" s="42"/>
      <c r="G73" s="43"/>
      <c r="H73" s="49"/>
      <c r="I73" s="45" t="s">
        <v>70</v>
      </c>
      <c r="J73" s="46"/>
      <c r="K73" s="47"/>
      <c r="L73" s="47"/>
      <c r="M73" s="47"/>
      <c r="N73" s="48"/>
    </row>
    <row r="74" spans="3:14" s="38" customFormat="1" ht="14" x14ac:dyDescent="0.15">
      <c r="C74" s="51" t="s">
        <v>74</v>
      </c>
      <c r="D74" s="40"/>
      <c r="E74" s="41"/>
      <c r="F74" s="42"/>
      <c r="G74" s="43"/>
      <c r="H74" s="49"/>
      <c r="I74" s="45" t="s">
        <v>70</v>
      </c>
      <c r="J74" s="46"/>
      <c r="K74" s="47"/>
      <c r="L74" s="47"/>
      <c r="M74" s="47"/>
      <c r="N74" s="48"/>
    </row>
    <row r="75" spans="3:14" s="38" customFormat="1" ht="14" x14ac:dyDescent="0.15">
      <c r="C75" s="51" t="s">
        <v>75</v>
      </c>
      <c r="D75" s="40"/>
      <c r="E75" s="41"/>
      <c r="F75" s="42"/>
      <c r="G75" s="43"/>
      <c r="H75" s="49"/>
      <c r="I75" s="45" t="s">
        <v>70</v>
      </c>
      <c r="J75" s="46"/>
      <c r="K75" s="47"/>
      <c r="L75" s="47"/>
      <c r="M75" s="47"/>
      <c r="N75" s="48"/>
    </row>
    <row r="76" spans="3:14" s="38" customFormat="1" ht="14" x14ac:dyDescent="0.15">
      <c r="C76" s="51" t="s">
        <v>76</v>
      </c>
      <c r="D76" s="40"/>
      <c r="E76" s="41"/>
      <c r="F76" s="42"/>
      <c r="G76" s="43"/>
      <c r="H76" s="49"/>
      <c r="I76" s="45" t="s">
        <v>70</v>
      </c>
      <c r="J76" s="46"/>
      <c r="K76" s="47"/>
      <c r="L76" s="47"/>
      <c r="M76" s="47"/>
      <c r="N76" s="48"/>
    </row>
    <row r="77" spans="3:14" s="38" customFormat="1" ht="14" x14ac:dyDescent="0.15">
      <c r="C77" s="51" t="s">
        <v>77</v>
      </c>
      <c r="D77" s="40"/>
      <c r="E77" s="41"/>
      <c r="F77" s="42"/>
      <c r="G77" s="43"/>
      <c r="H77" s="49"/>
      <c r="I77" s="45" t="s">
        <v>70</v>
      </c>
      <c r="J77" s="46"/>
      <c r="K77" s="47"/>
      <c r="L77" s="47"/>
      <c r="M77" s="47"/>
      <c r="N77" s="48"/>
    </row>
    <row r="78" spans="3:14" s="38" customFormat="1" ht="14" x14ac:dyDescent="0.15">
      <c r="C78" s="51" t="s">
        <v>78</v>
      </c>
      <c r="D78" s="40"/>
      <c r="E78" s="41"/>
      <c r="F78" s="42"/>
      <c r="G78" s="43"/>
      <c r="H78" s="49"/>
      <c r="I78" s="45" t="s">
        <v>70</v>
      </c>
      <c r="J78" s="46"/>
      <c r="K78" s="47"/>
      <c r="L78" s="47"/>
      <c r="M78" s="47"/>
      <c r="N78" s="48"/>
    </row>
    <row r="79" spans="3:14" s="38" customFormat="1" ht="14" x14ac:dyDescent="0.15">
      <c r="C79" s="51" t="s">
        <v>79</v>
      </c>
      <c r="D79" s="40"/>
      <c r="E79" s="41"/>
      <c r="F79" s="42"/>
      <c r="G79" s="43"/>
      <c r="H79" s="49"/>
      <c r="I79" s="45" t="s">
        <v>70</v>
      </c>
      <c r="J79" s="46"/>
      <c r="K79" s="47"/>
      <c r="L79" s="47"/>
      <c r="M79" s="47"/>
      <c r="N79" s="48"/>
    </row>
    <row r="80" spans="3:14" s="38" customFormat="1" ht="14" x14ac:dyDescent="0.15">
      <c r="C80" s="51" t="s">
        <v>80</v>
      </c>
      <c r="D80" s="40"/>
      <c r="E80" s="41"/>
      <c r="F80" s="42"/>
      <c r="G80" s="43"/>
      <c r="H80" s="49"/>
      <c r="I80" s="45" t="s">
        <v>70</v>
      </c>
      <c r="J80" s="46"/>
      <c r="K80" s="47"/>
      <c r="L80" s="47"/>
      <c r="M80" s="47"/>
      <c r="N80" s="48"/>
    </row>
    <row r="81" spans="3:14" s="38" customFormat="1" ht="14" x14ac:dyDescent="0.15">
      <c r="C81" s="51" t="s">
        <v>81</v>
      </c>
      <c r="D81" s="40"/>
      <c r="E81" s="41"/>
      <c r="F81" s="42"/>
      <c r="G81" s="43"/>
      <c r="H81" s="49"/>
      <c r="I81" s="45" t="s">
        <v>70</v>
      </c>
      <c r="J81" s="46"/>
      <c r="K81" s="47"/>
      <c r="L81" s="47"/>
      <c r="M81" s="47"/>
      <c r="N81" s="48"/>
    </row>
    <row r="82" spans="3:14" s="38" customFormat="1" ht="14" x14ac:dyDescent="0.15">
      <c r="C82" s="51" t="s">
        <v>82</v>
      </c>
      <c r="D82" s="40"/>
      <c r="E82" s="41"/>
      <c r="F82" s="42"/>
      <c r="G82" s="43"/>
      <c r="H82" s="49"/>
      <c r="I82" s="45" t="s">
        <v>70</v>
      </c>
      <c r="J82" s="46"/>
      <c r="K82" s="47"/>
      <c r="L82" s="47"/>
      <c r="M82" s="47"/>
      <c r="N82" s="48"/>
    </row>
    <row r="83" spans="3:14" s="38" customFormat="1" ht="14" x14ac:dyDescent="0.15">
      <c r="C83" s="51" t="s">
        <v>83</v>
      </c>
      <c r="D83" s="40"/>
      <c r="E83" s="41"/>
      <c r="F83" s="42"/>
      <c r="G83" s="43"/>
      <c r="H83" s="49"/>
      <c r="I83" s="45" t="s">
        <v>70</v>
      </c>
      <c r="J83" s="46"/>
      <c r="K83" s="47"/>
      <c r="L83" s="47"/>
      <c r="M83" s="47"/>
      <c r="N83" s="48"/>
    </row>
    <row r="84" spans="3:14" s="38" customFormat="1" ht="14" x14ac:dyDescent="0.15">
      <c r="C84" s="51" t="s">
        <v>84</v>
      </c>
      <c r="D84" s="40"/>
      <c r="E84" s="41"/>
      <c r="F84" s="42"/>
      <c r="G84" s="43"/>
      <c r="H84" s="49"/>
      <c r="I84" s="45" t="s">
        <v>70</v>
      </c>
      <c r="J84" s="46"/>
      <c r="K84" s="47"/>
      <c r="L84" s="47"/>
      <c r="M84" s="47"/>
      <c r="N84" s="48"/>
    </row>
    <row r="85" spans="3:14" s="38" customFormat="1" ht="14" x14ac:dyDescent="0.15">
      <c r="C85" s="51" t="s">
        <v>85</v>
      </c>
      <c r="D85" s="40"/>
      <c r="E85" s="41"/>
      <c r="F85" s="42"/>
      <c r="G85" s="43"/>
      <c r="H85" s="49"/>
      <c r="I85" s="45" t="s">
        <v>70</v>
      </c>
      <c r="J85" s="46"/>
      <c r="K85" s="47"/>
      <c r="L85" s="47"/>
      <c r="M85" s="47"/>
      <c r="N85" s="48"/>
    </row>
    <row r="86" spans="3:14" s="38" customFormat="1" ht="14" x14ac:dyDescent="0.15">
      <c r="C86" s="51" t="s">
        <v>86</v>
      </c>
      <c r="D86" s="40"/>
      <c r="E86" s="41"/>
      <c r="F86" s="42"/>
      <c r="G86" s="43"/>
      <c r="H86" s="49"/>
      <c r="I86" s="45" t="s">
        <v>70</v>
      </c>
      <c r="J86" s="46"/>
      <c r="K86" s="47"/>
      <c r="L86" s="47"/>
      <c r="M86" s="47"/>
      <c r="N86" s="48"/>
    </row>
    <row r="87" spans="3:14" s="38" customFormat="1" ht="14" x14ac:dyDescent="0.15">
      <c r="C87" s="51" t="s">
        <v>87</v>
      </c>
      <c r="D87" s="40"/>
      <c r="E87" s="41"/>
      <c r="F87" s="42"/>
      <c r="G87" s="43"/>
      <c r="H87" s="49"/>
      <c r="I87" s="45" t="s">
        <v>70</v>
      </c>
      <c r="J87" s="46"/>
      <c r="K87" s="47"/>
      <c r="L87" s="47"/>
      <c r="M87" s="47"/>
      <c r="N87" s="48"/>
    </row>
    <row r="88" spans="3:14" s="38" customFormat="1" ht="14" x14ac:dyDescent="0.15">
      <c r="C88" s="51" t="s">
        <v>88</v>
      </c>
      <c r="D88" s="40"/>
      <c r="E88" s="41"/>
      <c r="F88" s="42"/>
      <c r="G88" s="43"/>
      <c r="H88" s="49"/>
      <c r="I88" s="45" t="s">
        <v>70</v>
      </c>
      <c r="J88" s="46"/>
      <c r="K88" s="47"/>
      <c r="L88" s="47"/>
      <c r="M88" s="47"/>
      <c r="N88" s="48"/>
    </row>
    <row r="89" spans="3:14" s="38" customFormat="1" ht="14" x14ac:dyDescent="0.15">
      <c r="C89" s="51" t="s">
        <v>89</v>
      </c>
      <c r="D89" s="40"/>
      <c r="E89" s="41"/>
      <c r="F89" s="42"/>
      <c r="G89" s="43"/>
      <c r="H89" s="49"/>
      <c r="I89" s="45" t="s">
        <v>70</v>
      </c>
      <c r="J89" s="46"/>
      <c r="K89" s="47"/>
      <c r="L89" s="47"/>
      <c r="M89" s="47"/>
      <c r="N89" s="48"/>
    </row>
    <row r="90" spans="3:14" s="38" customFormat="1" ht="14" x14ac:dyDescent="0.15">
      <c r="C90" s="51" t="s">
        <v>90</v>
      </c>
      <c r="D90" s="40"/>
      <c r="E90" s="41"/>
      <c r="F90" s="42"/>
      <c r="G90" s="43"/>
      <c r="H90" s="49"/>
      <c r="I90" s="45" t="s">
        <v>70</v>
      </c>
      <c r="J90" s="46"/>
      <c r="K90" s="47"/>
      <c r="L90" s="47"/>
      <c r="M90" s="47"/>
      <c r="N90" s="48"/>
    </row>
    <row r="91" spans="3:14" s="38" customFormat="1" ht="14" x14ac:dyDescent="0.15">
      <c r="C91" s="51" t="s">
        <v>91</v>
      </c>
      <c r="D91" s="40"/>
      <c r="E91" s="41"/>
      <c r="F91" s="42"/>
      <c r="G91" s="43"/>
      <c r="H91" s="49"/>
      <c r="I91" s="45" t="s">
        <v>70</v>
      </c>
      <c r="J91" s="46"/>
      <c r="K91" s="47"/>
      <c r="L91" s="47"/>
      <c r="M91" s="47"/>
      <c r="N91" s="48"/>
    </row>
    <row r="92" spans="3:14" s="38" customFormat="1" ht="14" x14ac:dyDescent="0.15">
      <c r="C92" s="51" t="s">
        <v>92</v>
      </c>
      <c r="D92" s="40"/>
      <c r="E92" s="41"/>
      <c r="F92" s="42"/>
      <c r="G92" s="43"/>
      <c r="H92" s="49"/>
      <c r="I92" s="45" t="s">
        <v>70</v>
      </c>
      <c r="J92" s="46"/>
      <c r="K92" s="47"/>
      <c r="L92" s="47"/>
      <c r="M92" s="47"/>
      <c r="N92" s="48"/>
    </row>
    <row r="93" spans="3:14" s="38" customFormat="1" ht="14" x14ac:dyDescent="0.15">
      <c r="C93" s="51" t="s">
        <v>93</v>
      </c>
      <c r="D93" s="40"/>
      <c r="E93" s="41"/>
      <c r="F93" s="42"/>
      <c r="G93" s="43"/>
      <c r="H93" s="49"/>
      <c r="I93" s="45" t="s">
        <v>70</v>
      </c>
      <c r="J93" s="46"/>
      <c r="K93" s="47"/>
      <c r="L93" s="47"/>
      <c r="M93" s="47"/>
      <c r="N93" s="48"/>
    </row>
    <row r="94" spans="3:14" s="38" customFormat="1" ht="14" x14ac:dyDescent="0.15">
      <c r="C94" s="51" t="s">
        <v>94</v>
      </c>
      <c r="D94" s="62"/>
      <c r="E94" s="41"/>
      <c r="F94" s="42"/>
      <c r="G94" s="43"/>
      <c r="H94" s="49"/>
      <c r="I94" s="45" t="s">
        <v>70</v>
      </c>
      <c r="J94" s="46"/>
      <c r="K94" s="47"/>
      <c r="L94" s="47"/>
      <c r="M94" s="47"/>
      <c r="N94" s="48"/>
    </row>
    <row r="95" spans="3:14" s="38" customFormat="1" ht="14" x14ac:dyDescent="0.15">
      <c r="C95" s="51" t="s">
        <v>95</v>
      </c>
      <c r="D95" s="40"/>
      <c r="E95" s="41"/>
      <c r="F95" s="42"/>
      <c r="G95" s="43"/>
      <c r="H95" s="63"/>
      <c r="I95" s="45" t="s">
        <v>70</v>
      </c>
      <c r="J95" s="46"/>
      <c r="K95" s="47"/>
      <c r="L95" s="47"/>
      <c r="M95" s="47">
        <f>MIN(J95:L95)</f>
        <v>0</v>
      </c>
      <c r="N95" s="48" t="e">
        <f>SUM(M95/E95)</f>
        <v>#DIV/0!</v>
      </c>
    </row>
    <row r="96" spans="3:14" s="38" customFormat="1" x14ac:dyDescent="0.15">
      <c r="C96" s="64"/>
      <c r="D96" s="62"/>
      <c r="E96" s="65"/>
      <c r="F96" s="66"/>
      <c r="G96" s="67"/>
      <c r="H96" s="68"/>
      <c r="I96" s="45"/>
      <c r="J96" s="46"/>
      <c r="K96" s="47"/>
      <c r="L96" s="47"/>
      <c r="M96" s="47"/>
      <c r="N96" s="48"/>
    </row>
    <row r="97" spans="3:14" s="38" customFormat="1" x14ac:dyDescent="0.15">
      <c r="C97" s="51"/>
      <c r="D97" s="62"/>
      <c r="E97" s="65"/>
      <c r="F97" s="66"/>
      <c r="G97" s="67"/>
      <c r="H97" s="68"/>
      <c r="I97" s="69"/>
      <c r="J97" s="46"/>
      <c r="K97" s="47"/>
      <c r="L97" s="47"/>
      <c r="M97" s="47"/>
      <c r="N97" s="48"/>
    </row>
    <row r="98" spans="3:14" s="16" customFormat="1" ht="12.75" customHeight="1" x14ac:dyDescent="0.15">
      <c r="C98" s="9" t="s">
        <v>96</v>
      </c>
      <c r="D98" s="9"/>
      <c r="E98" s="8"/>
      <c r="F98" s="8"/>
      <c r="G98" s="8"/>
      <c r="H98" s="70"/>
      <c r="I98" s="7" t="s">
        <v>3</v>
      </c>
      <c r="J98" s="56"/>
      <c r="K98" s="57"/>
      <c r="L98" s="57"/>
      <c r="M98" s="47">
        <f t="shared" ref="M98:M103" si="6">MIN(J98:L98)</f>
        <v>0</v>
      </c>
      <c r="N98" s="48" t="e">
        <f t="shared" ref="N98:N103" si="7">SUM(M98/E98)</f>
        <v>#DIV/0!</v>
      </c>
    </row>
    <row r="99" spans="3:14" s="16" customFormat="1" ht="15" customHeight="1" x14ac:dyDescent="0.15">
      <c r="C99" s="9"/>
      <c r="D99" s="9"/>
      <c r="E99" s="58" t="s">
        <v>5</v>
      </c>
      <c r="F99" s="59"/>
      <c r="G99" s="60" t="s">
        <v>6</v>
      </c>
      <c r="H99" s="61" t="s">
        <v>7</v>
      </c>
      <c r="I99" s="7"/>
      <c r="J99" s="56"/>
      <c r="K99" s="57"/>
      <c r="L99" s="57"/>
      <c r="M99" s="47">
        <f t="shared" si="6"/>
        <v>0</v>
      </c>
      <c r="N99" s="48" t="e">
        <f t="shared" si="7"/>
        <v>#VALUE!</v>
      </c>
    </row>
    <row r="100" spans="3:14" s="38" customFormat="1" ht="14" x14ac:dyDescent="0.15">
      <c r="C100" s="39" t="s">
        <v>97</v>
      </c>
      <c r="D100" s="40"/>
      <c r="E100" s="41"/>
      <c r="F100" s="42"/>
      <c r="G100" s="43"/>
      <c r="H100" s="49"/>
      <c r="I100" s="45" t="s">
        <v>12</v>
      </c>
      <c r="J100" s="46"/>
      <c r="K100" s="47"/>
      <c r="L100" s="47"/>
      <c r="M100" s="47">
        <f t="shared" si="6"/>
        <v>0</v>
      </c>
      <c r="N100" s="48" t="e">
        <f t="shared" si="7"/>
        <v>#DIV/0!</v>
      </c>
    </row>
    <row r="101" spans="3:14" s="38" customFormat="1" ht="14" x14ac:dyDescent="0.15">
      <c r="C101" s="39" t="s">
        <v>98</v>
      </c>
      <c r="D101" s="40"/>
      <c r="E101" s="41"/>
      <c r="F101" s="42"/>
      <c r="G101" s="43"/>
      <c r="H101" s="49"/>
      <c r="I101" s="45" t="s">
        <v>12</v>
      </c>
      <c r="J101" s="46"/>
      <c r="K101" s="47"/>
      <c r="L101" s="47"/>
      <c r="M101" s="47">
        <f t="shared" si="6"/>
        <v>0</v>
      </c>
      <c r="N101" s="48" t="e">
        <f t="shared" si="7"/>
        <v>#DIV/0!</v>
      </c>
    </row>
    <row r="102" spans="3:14" s="38" customFormat="1" ht="14" x14ac:dyDescent="0.15">
      <c r="C102" s="39" t="s">
        <v>99</v>
      </c>
      <c r="D102" s="40"/>
      <c r="E102" s="41"/>
      <c r="F102" s="42"/>
      <c r="G102" s="43"/>
      <c r="H102" s="49"/>
      <c r="I102" s="45" t="s">
        <v>12</v>
      </c>
      <c r="J102" s="46"/>
      <c r="K102" s="47"/>
      <c r="L102" s="47"/>
      <c r="M102" s="47">
        <f t="shared" si="6"/>
        <v>0</v>
      </c>
      <c r="N102" s="48" t="e">
        <f t="shared" si="7"/>
        <v>#DIV/0!</v>
      </c>
    </row>
    <row r="103" spans="3:14" s="38" customFormat="1" ht="14" x14ac:dyDescent="0.15">
      <c r="C103" s="50" t="s">
        <v>100</v>
      </c>
      <c r="D103" s="40"/>
      <c r="E103" s="41"/>
      <c r="F103" s="42"/>
      <c r="G103" s="43"/>
      <c r="H103" s="49"/>
      <c r="I103" s="45" t="s">
        <v>12</v>
      </c>
      <c r="J103" s="46"/>
      <c r="K103" s="47"/>
      <c r="L103" s="47"/>
      <c r="M103" s="47">
        <f t="shared" si="6"/>
        <v>0</v>
      </c>
      <c r="N103" s="48" t="e">
        <f t="shared" si="7"/>
        <v>#DIV/0!</v>
      </c>
    </row>
    <row r="104" spans="3:14" s="38" customFormat="1" ht="14" x14ac:dyDescent="0.15">
      <c r="C104" s="50" t="s">
        <v>101</v>
      </c>
      <c r="D104" s="40"/>
      <c r="E104" s="41"/>
      <c r="F104" s="42"/>
      <c r="G104" s="43"/>
      <c r="H104" s="49"/>
      <c r="I104" s="45" t="s">
        <v>12</v>
      </c>
      <c r="J104" s="46"/>
      <c r="K104" s="47"/>
      <c r="L104" s="47"/>
      <c r="M104" s="47"/>
      <c r="N104" s="48"/>
    </row>
    <row r="105" spans="3:14" s="38" customFormat="1" ht="14" x14ac:dyDescent="0.15">
      <c r="C105" s="51" t="s">
        <v>102</v>
      </c>
      <c r="D105" s="40"/>
      <c r="E105" s="41"/>
      <c r="F105" s="42"/>
      <c r="G105" s="43"/>
      <c r="H105" s="49"/>
      <c r="I105" s="45" t="s">
        <v>12</v>
      </c>
      <c r="J105" s="46"/>
      <c r="K105" s="47"/>
      <c r="L105" s="47"/>
      <c r="M105" s="47">
        <f>MIN(J105:L105)</f>
        <v>0</v>
      </c>
      <c r="N105" s="48" t="e">
        <f>SUM(M105/E105)</f>
        <v>#DIV/0!</v>
      </c>
    </row>
    <row r="106" spans="3:14" s="38" customFormat="1" ht="14" x14ac:dyDescent="0.15">
      <c r="C106" s="51" t="s">
        <v>103</v>
      </c>
      <c r="D106" s="40"/>
      <c r="E106" s="41"/>
      <c r="F106" s="42"/>
      <c r="G106" s="43"/>
      <c r="H106" s="49"/>
      <c r="I106" s="45" t="s">
        <v>12</v>
      </c>
      <c r="J106" s="46"/>
      <c r="K106" s="47"/>
      <c r="L106" s="47"/>
      <c r="M106" s="47"/>
      <c r="N106" s="48"/>
    </row>
    <row r="107" spans="3:14" s="38" customFormat="1" ht="14" x14ac:dyDescent="0.15">
      <c r="C107" s="51" t="s">
        <v>104</v>
      </c>
      <c r="D107" s="40"/>
      <c r="E107" s="41"/>
      <c r="F107" s="42"/>
      <c r="G107" s="43"/>
      <c r="H107" s="49"/>
      <c r="I107" s="45" t="s">
        <v>10</v>
      </c>
      <c r="J107" s="46"/>
      <c r="K107" s="47"/>
      <c r="L107" s="47"/>
      <c r="M107" s="47"/>
      <c r="N107" s="48"/>
    </row>
    <row r="108" spans="3:14" s="38" customFormat="1" ht="14" x14ac:dyDescent="0.15">
      <c r="C108" s="51" t="s">
        <v>105</v>
      </c>
      <c r="D108" s="40"/>
      <c r="E108" s="41"/>
      <c r="F108" s="42"/>
      <c r="G108" s="43"/>
      <c r="H108" s="49"/>
      <c r="I108" s="45" t="s">
        <v>10</v>
      </c>
      <c r="J108" s="46"/>
      <c r="K108" s="47"/>
      <c r="L108" s="47"/>
      <c r="M108" s="47"/>
      <c r="N108" s="48"/>
    </row>
    <row r="109" spans="3:14" s="38" customFormat="1" ht="14" x14ac:dyDescent="0.15">
      <c r="C109" s="51" t="s">
        <v>106</v>
      </c>
      <c r="D109" s="40"/>
      <c r="E109" s="41"/>
      <c r="F109" s="42"/>
      <c r="G109" s="43"/>
      <c r="H109" s="49"/>
      <c r="I109" s="45" t="s">
        <v>12</v>
      </c>
      <c r="J109" s="46"/>
      <c r="K109" s="47"/>
      <c r="L109" s="47"/>
      <c r="M109" s="47"/>
      <c r="N109" s="48"/>
    </row>
    <row r="110" spans="3:14" s="38" customFormat="1" ht="14" x14ac:dyDescent="0.15">
      <c r="C110" s="51" t="s">
        <v>107</v>
      </c>
      <c r="D110" s="40"/>
      <c r="E110" s="41"/>
      <c r="F110" s="42"/>
      <c r="G110" s="43"/>
      <c r="H110" s="49"/>
      <c r="I110" s="45" t="s">
        <v>12</v>
      </c>
      <c r="J110" s="46"/>
      <c r="K110" s="47"/>
      <c r="L110" s="47"/>
      <c r="M110" s="47"/>
      <c r="N110" s="48"/>
    </row>
    <row r="111" spans="3:14" s="38" customFormat="1" ht="14" x14ac:dyDescent="0.15">
      <c r="C111" s="51" t="s">
        <v>108</v>
      </c>
      <c r="D111" s="40"/>
      <c r="E111" s="41"/>
      <c r="F111" s="42"/>
      <c r="G111" s="43"/>
      <c r="H111" s="49"/>
      <c r="I111" s="45" t="s">
        <v>12</v>
      </c>
      <c r="J111" s="46"/>
      <c r="K111" s="47"/>
      <c r="L111" s="47"/>
      <c r="M111" s="47"/>
      <c r="N111" s="48"/>
    </row>
    <row r="112" spans="3:14" s="38" customFormat="1" ht="14" x14ac:dyDescent="0.15">
      <c r="C112" s="51" t="s">
        <v>109</v>
      </c>
      <c r="D112" s="40"/>
      <c r="E112" s="41"/>
      <c r="F112" s="42"/>
      <c r="G112" s="43"/>
      <c r="H112" s="49"/>
      <c r="I112" s="45" t="s">
        <v>12</v>
      </c>
      <c r="J112" s="46"/>
      <c r="K112" s="47"/>
      <c r="L112" s="47"/>
      <c r="M112" s="47"/>
      <c r="N112" s="48"/>
    </row>
    <row r="113" spans="3:14" s="38" customFormat="1" ht="14" x14ac:dyDescent="0.15">
      <c r="C113" s="51" t="s">
        <v>110</v>
      </c>
      <c r="D113" s="40"/>
      <c r="E113" s="41"/>
      <c r="F113" s="42"/>
      <c r="G113" s="43"/>
      <c r="H113" s="49"/>
      <c r="I113" s="45" t="s">
        <v>12</v>
      </c>
      <c r="J113" s="46"/>
      <c r="K113" s="47"/>
      <c r="L113" s="47"/>
      <c r="M113" s="47"/>
      <c r="N113" s="48"/>
    </row>
    <row r="114" spans="3:14" s="38" customFormat="1" ht="14" x14ac:dyDescent="0.15">
      <c r="C114" s="51" t="s">
        <v>111</v>
      </c>
      <c r="D114" s="40"/>
      <c r="E114" s="41"/>
      <c r="F114" s="42"/>
      <c r="G114" s="43"/>
      <c r="H114" s="49"/>
      <c r="I114" s="45" t="s">
        <v>12</v>
      </c>
      <c r="J114" s="46"/>
      <c r="K114" s="47"/>
      <c r="L114" s="47"/>
      <c r="M114" s="47"/>
      <c r="N114" s="48"/>
    </row>
    <row r="115" spans="3:14" s="38" customFormat="1" ht="14" x14ac:dyDescent="0.15">
      <c r="C115" s="51" t="s">
        <v>112</v>
      </c>
      <c r="D115" s="40"/>
      <c r="E115" s="41"/>
      <c r="F115" s="42"/>
      <c r="G115" s="43"/>
      <c r="H115" s="49"/>
      <c r="I115" s="45" t="s">
        <v>12</v>
      </c>
      <c r="J115" s="46"/>
      <c r="K115" s="47"/>
      <c r="L115" s="47"/>
      <c r="M115" s="47"/>
      <c r="N115" s="48"/>
    </row>
    <row r="116" spans="3:14" s="38" customFormat="1" ht="14" x14ac:dyDescent="0.15">
      <c r="C116" s="51" t="s">
        <v>113</v>
      </c>
      <c r="D116" s="40"/>
      <c r="E116" s="41"/>
      <c r="F116" s="42"/>
      <c r="G116" s="43"/>
      <c r="H116" s="49"/>
      <c r="I116" s="45" t="s">
        <v>12</v>
      </c>
      <c r="J116" s="46"/>
      <c r="K116" s="47"/>
      <c r="L116" s="47"/>
      <c r="M116" s="47"/>
      <c r="N116" s="48"/>
    </row>
    <row r="117" spans="3:14" s="38" customFormat="1" ht="14" x14ac:dyDescent="0.15">
      <c r="C117" s="51" t="s">
        <v>114</v>
      </c>
      <c r="D117" s="40"/>
      <c r="E117" s="41"/>
      <c r="F117" s="42"/>
      <c r="G117" s="43"/>
      <c r="H117" s="49"/>
      <c r="I117" s="45" t="s">
        <v>12</v>
      </c>
      <c r="J117" s="46"/>
      <c r="K117" s="47"/>
      <c r="L117" s="47"/>
      <c r="M117" s="47"/>
      <c r="N117" s="48"/>
    </row>
    <row r="118" spans="3:14" s="38" customFormat="1" ht="14" x14ac:dyDescent="0.15">
      <c r="C118" s="51" t="s">
        <v>115</v>
      </c>
      <c r="D118" s="40"/>
      <c r="E118" s="41"/>
      <c r="F118" s="42"/>
      <c r="G118" s="43"/>
      <c r="H118" s="49"/>
      <c r="I118" s="45" t="s">
        <v>12</v>
      </c>
      <c r="J118" s="46"/>
      <c r="K118" s="47"/>
      <c r="L118" s="47"/>
      <c r="M118" s="47"/>
      <c r="N118" s="48"/>
    </row>
    <row r="119" spans="3:14" s="38" customFormat="1" x14ac:dyDescent="0.15">
      <c r="C119" s="51"/>
      <c r="D119" s="40"/>
      <c r="E119" s="41"/>
      <c r="F119" s="42"/>
      <c r="G119" s="43"/>
      <c r="H119" s="49"/>
      <c r="I119" s="54"/>
      <c r="J119" s="46"/>
      <c r="K119" s="47"/>
      <c r="L119" s="47"/>
      <c r="M119" s="47"/>
      <c r="N119" s="48"/>
    </row>
    <row r="120" spans="3:14" s="38" customFormat="1" x14ac:dyDescent="0.15">
      <c r="C120" s="51"/>
      <c r="D120" s="40"/>
      <c r="E120" s="41"/>
      <c r="F120" s="42"/>
      <c r="G120" s="43"/>
      <c r="H120" s="49"/>
      <c r="I120" s="54"/>
      <c r="J120" s="46"/>
      <c r="K120" s="47"/>
      <c r="L120" s="47"/>
      <c r="M120" s="47"/>
      <c r="N120" s="48"/>
    </row>
    <row r="121" spans="3:14" s="38" customFormat="1" x14ac:dyDescent="0.15">
      <c r="C121" s="51"/>
      <c r="D121" s="40"/>
      <c r="E121" s="41"/>
      <c r="F121" s="42"/>
      <c r="G121" s="43"/>
      <c r="H121" s="49"/>
      <c r="I121" s="54"/>
      <c r="J121" s="46"/>
      <c r="K121" s="47"/>
      <c r="L121" s="47"/>
      <c r="M121" s="47"/>
      <c r="N121" s="48"/>
    </row>
    <row r="122" spans="3:14" s="38" customFormat="1" x14ac:dyDescent="0.15">
      <c r="C122" s="51"/>
      <c r="D122" s="40"/>
      <c r="E122" s="41"/>
      <c r="F122" s="42"/>
      <c r="G122" s="43"/>
      <c r="H122" s="49"/>
      <c r="I122" s="54"/>
      <c r="J122" s="46"/>
      <c r="K122" s="47"/>
      <c r="L122" s="47"/>
      <c r="M122" s="47"/>
      <c r="N122" s="48"/>
    </row>
    <row r="123" spans="3:14" s="38" customFormat="1" x14ac:dyDescent="0.15">
      <c r="C123" s="51"/>
      <c r="D123" s="40"/>
      <c r="E123" s="41"/>
      <c r="F123" s="42"/>
      <c r="G123" s="43"/>
      <c r="H123" s="49"/>
      <c r="I123" s="54"/>
      <c r="J123" s="46"/>
      <c r="K123" s="47"/>
      <c r="L123" s="47"/>
      <c r="M123" s="47">
        <f t="shared" ref="M123:M135" si="8">MIN(J123:L123)</f>
        <v>0</v>
      </c>
      <c r="N123" s="48" t="e">
        <f t="shared" ref="N123:N135" si="9">SUM(M123/E123)</f>
        <v>#DIV/0!</v>
      </c>
    </row>
    <row r="124" spans="3:14" s="16" customFormat="1" ht="12.75" customHeight="1" x14ac:dyDescent="0.15">
      <c r="C124" s="6" t="s">
        <v>116</v>
      </c>
      <c r="D124" s="6"/>
      <c r="E124" s="10"/>
      <c r="F124" s="10"/>
      <c r="G124" s="10"/>
      <c r="H124" s="55"/>
      <c r="I124" s="12" t="s">
        <v>3</v>
      </c>
      <c r="J124" s="56"/>
      <c r="K124" s="57"/>
      <c r="L124" s="57"/>
      <c r="M124" s="47">
        <f t="shared" si="8"/>
        <v>0</v>
      </c>
      <c r="N124" s="48" t="e">
        <f t="shared" si="9"/>
        <v>#DIV/0!</v>
      </c>
    </row>
    <row r="125" spans="3:14" s="16" customFormat="1" ht="15" customHeight="1" x14ac:dyDescent="0.15">
      <c r="C125" s="6"/>
      <c r="D125" s="6"/>
      <c r="E125" s="58" t="s">
        <v>5</v>
      </c>
      <c r="F125" s="59"/>
      <c r="G125" s="60" t="s">
        <v>6</v>
      </c>
      <c r="H125" s="61" t="s">
        <v>7</v>
      </c>
      <c r="I125" s="12"/>
      <c r="J125" s="56"/>
      <c r="K125" s="57"/>
      <c r="L125" s="57"/>
      <c r="M125" s="47">
        <f t="shared" si="8"/>
        <v>0</v>
      </c>
      <c r="N125" s="48" t="e">
        <f t="shared" si="9"/>
        <v>#VALUE!</v>
      </c>
    </row>
    <row r="126" spans="3:14" s="38" customFormat="1" ht="14" x14ac:dyDescent="0.15">
      <c r="C126" s="39" t="s">
        <v>117</v>
      </c>
      <c r="D126" s="40"/>
      <c r="E126" s="41"/>
      <c r="F126" s="42"/>
      <c r="G126" s="43"/>
      <c r="H126" s="49"/>
      <c r="I126" s="71" t="s">
        <v>10</v>
      </c>
      <c r="J126" s="46"/>
      <c r="K126" s="47"/>
      <c r="L126" s="47"/>
      <c r="M126" s="47">
        <f t="shared" si="8"/>
        <v>0</v>
      </c>
      <c r="N126" s="48" t="e">
        <f t="shared" si="9"/>
        <v>#DIV/0!</v>
      </c>
    </row>
    <row r="127" spans="3:14" s="38" customFormat="1" ht="14" x14ac:dyDescent="0.15">
      <c r="C127" s="39" t="s">
        <v>118</v>
      </c>
      <c r="D127" s="40"/>
      <c r="E127" s="41"/>
      <c r="F127" s="42"/>
      <c r="G127" s="43"/>
      <c r="H127" s="49"/>
      <c r="I127" s="71" t="s">
        <v>10</v>
      </c>
      <c r="J127" s="46"/>
      <c r="K127" s="47"/>
      <c r="L127" s="47"/>
      <c r="M127" s="47">
        <f t="shared" si="8"/>
        <v>0</v>
      </c>
      <c r="N127" s="48" t="e">
        <f t="shared" si="9"/>
        <v>#DIV/0!</v>
      </c>
    </row>
    <row r="128" spans="3:14" s="38" customFormat="1" ht="14" x14ac:dyDescent="0.15">
      <c r="C128" s="39" t="s">
        <v>119</v>
      </c>
      <c r="D128" s="40"/>
      <c r="E128" s="41"/>
      <c r="F128" s="42"/>
      <c r="G128" s="43"/>
      <c r="H128" s="49"/>
      <c r="I128" s="71" t="s">
        <v>12</v>
      </c>
      <c r="J128" s="46"/>
      <c r="K128" s="47"/>
      <c r="L128" s="47"/>
      <c r="M128" s="47">
        <f t="shared" si="8"/>
        <v>0</v>
      </c>
      <c r="N128" s="48" t="e">
        <f t="shared" si="9"/>
        <v>#DIV/0!</v>
      </c>
    </row>
    <row r="129" spans="3:14" s="38" customFormat="1" ht="14" x14ac:dyDescent="0.15">
      <c r="C129" s="39" t="s">
        <v>120</v>
      </c>
      <c r="D129" s="40"/>
      <c r="E129" s="41"/>
      <c r="F129" s="42"/>
      <c r="G129" s="43"/>
      <c r="H129" s="49"/>
      <c r="I129" s="71" t="s">
        <v>10</v>
      </c>
      <c r="J129" s="46"/>
      <c r="K129" s="47"/>
      <c r="L129" s="47"/>
      <c r="M129" s="47">
        <f t="shared" si="8"/>
        <v>0</v>
      </c>
      <c r="N129" s="48" t="e">
        <f t="shared" si="9"/>
        <v>#DIV/0!</v>
      </c>
    </row>
    <row r="130" spans="3:14" s="38" customFormat="1" ht="14" x14ac:dyDescent="0.15">
      <c r="C130" s="39" t="s">
        <v>121</v>
      </c>
      <c r="D130" s="40"/>
      <c r="E130" s="41"/>
      <c r="F130" s="42"/>
      <c r="G130" s="43"/>
      <c r="H130" s="49"/>
      <c r="I130" s="71" t="s">
        <v>12</v>
      </c>
      <c r="J130" s="46"/>
      <c r="K130" s="47"/>
      <c r="L130" s="47"/>
      <c r="M130" s="47">
        <f t="shared" si="8"/>
        <v>0</v>
      </c>
      <c r="N130" s="48" t="e">
        <f t="shared" si="9"/>
        <v>#DIV/0!</v>
      </c>
    </row>
    <row r="131" spans="3:14" s="38" customFormat="1" ht="14" x14ac:dyDescent="0.15">
      <c r="C131" s="39" t="s">
        <v>122</v>
      </c>
      <c r="D131" s="40"/>
      <c r="E131" s="41"/>
      <c r="F131" s="42"/>
      <c r="G131" s="43"/>
      <c r="H131" s="49"/>
      <c r="I131" s="71" t="s">
        <v>12</v>
      </c>
      <c r="J131" s="46"/>
      <c r="K131" s="47"/>
      <c r="L131" s="47"/>
      <c r="M131" s="47">
        <f t="shared" si="8"/>
        <v>0</v>
      </c>
      <c r="N131" s="48" t="e">
        <f t="shared" si="9"/>
        <v>#DIV/0!</v>
      </c>
    </row>
    <row r="132" spans="3:14" s="38" customFormat="1" ht="14" x14ac:dyDescent="0.15">
      <c r="C132" s="39" t="s">
        <v>123</v>
      </c>
      <c r="D132" s="40"/>
      <c r="E132" s="41"/>
      <c r="F132" s="42"/>
      <c r="G132" s="43"/>
      <c r="H132" s="49"/>
      <c r="I132" s="71" t="s">
        <v>12</v>
      </c>
      <c r="J132" s="46"/>
      <c r="K132" s="47"/>
      <c r="L132" s="47"/>
      <c r="M132" s="47">
        <f t="shared" si="8"/>
        <v>0</v>
      </c>
      <c r="N132" s="48" t="e">
        <f t="shared" si="9"/>
        <v>#DIV/0!</v>
      </c>
    </row>
    <row r="133" spans="3:14" s="38" customFormat="1" ht="14" x14ac:dyDescent="0.15">
      <c r="C133" s="51" t="s">
        <v>124</v>
      </c>
      <c r="D133" s="40"/>
      <c r="E133" s="41"/>
      <c r="F133" s="42"/>
      <c r="G133" s="43"/>
      <c r="H133" s="49"/>
      <c r="I133" s="71" t="s">
        <v>12</v>
      </c>
      <c r="J133" s="46"/>
      <c r="K133" s="47"/>
      <c r="L133" s="47"/>
      <c r="M133" s="47">
        <f t="shared" si="8"/>
        <v>0</v>
      </c>
      <c r="N133" s="48" t="e">
        <f t="shared" si="9"/>
        <v>#DIV/0!</v>
      </c>
    </row>
    <row r="134" spans="3:14" s="38" customFormat="1" x14ac:dyDescent="0.15">
      <c r="C134" s="51"/>
      <c r="D134" s="40"/>
      <c r="E134" s="41"/>
      <c r="F134" s="42"/>
      <c r="G134" s="43"/>
      <c r="H134" s="49"/>
      <c r="I134" s="54"/>
      <c r="J134" s="46"/>
      <c r="K134" s="47"/>
      <c r="L134" s="47"/>
      <c r="M134" s="47">
        <f t="shared" si="8"/>
        <v>0</v>
      </c>
      <c r="N134" s="48" t="e">
        <f t="shared" si="9"/>
        <v>#DIV/0!</v>
      </c>
    </row>
    <row r="135" spans="3:14" s="38" customFormat="1" x14ac:dyDescent="0.15">
      <c r="C135" s="51"/>
      <c r="D135" s="40"/>
      <c r="E135" s="41"/>
      <c r="F135" s="42"/>
      <c r="G135" s="43"/>
      <c r="H135" s="49"/>
      <c r="I135" s="54"/>
      <c r="J135" s="46"/>
      <c r="K135" s="47"/>
      <c r="L135" s="47"/>
      <c r="M135" s="47">
        <f t="shared" si="8"/>
        <v>0</v>
      </c>
      <c r="N135" s="48" t="e">
        <f t="shared" si="9"/>
        <v>#DIV/0!</v>
      </c>
    </row>
    <row r="136" spans="3:14" s="38" customFormat="1" ht="14" x14ac:dyDescent="0.15">
      <c r="C136" s="51" t="s">
        <v>125</v>
      </c>
      <c r="D136" s="40"/>
      <c r="E136" s="41"/>
      <c r="F136" s="42"/>
      <c r="G136" s="43"/>
      <c r="H136" s="49"/>
      <c r="I136" s="71" t="s">
        <v>12</v>
      </c>
      <c r="J136" s="46"/>
      <c r="K136" s="47"/>
      <c r="L136" s="47"/>
      <c r="M136" s="47"/>
      <c r="N136" s="48"/>
    </row>
    <row r="137" spans="3:14" s="38" customFormat="1" ht="14" x14ac:dyDescent="0.15">
      <c r="C137" s="51" t="s">
        <v>126</v>
      </c>
      <c r="D137" s="40"/>
      <c r="E137" s="41"/>
      <c r="F137" s="42"/>
      <c r="G137" s="43"/>
      <c r="H137" s="49"/>
      <c r="I137" s="45" t="s">
        <v>10</v>
      </c>
      <c r="J137" s="46"/>
      <c r="K137" s="47"/>
      <c r="L137" s="47"/>
      <c r="M137" s="47"/>
      <c r="N137" s="48"/>
    </row>
    <row r="138" spans="3:14" s="38" customFormat="1" ht="14" x14ac:dyDescent="0.15">
      <c r="C138" s="51" t="s">
        <v>127</v>
      </c>
      <c r="D138" s="40"/>
      <c r="E138" s="41"/>
      <c r="F138" s="42"/>
      <c r="G138" s="43"/>
      <c r="H138" s="49"/>
      <c r="I138" s="45" t="s">
        <v>10</v>
      </c>
      <c r="J138" s="46"/>
      <c r="K138" s="47"/>
      <c r="L138" s="47"/>
      <c r="M138" s="47"/>
      <c r="N138" s="48"/>
    </row>
    <row r="139" spans="3:14" s="38" customFormat="1" ht="14" x14ac:dyDescent="0.15">
      <c r="C139" s="51" t="s">
        <v>128</v>
      </c>
      <c r="D139" s="40"/>
      <c r="E139" s="41"/>
      <c r="F139" s="42"/>
      <c r="G139" s="43"/>
      <c r="H139" s="49"/>
      <c r="I139" s="45" t="s">
        <v>12</v>
      </c>
      <c r="J139" s="46"/>
      <c r="K139" s="47"/>
      <c r="L139" s="47"/>
      <c r="M139" s="47"/>
      <c r="N139" s="48"/>
    </row>
    <row r="140" spans="3:14" s="38" customFormat="1" ht="14" x14ac:dyDescent="0.15">
      <c r="C140" s="51" t="s">
        <v>129</v>
      </c>
      <c r="D140" s="40"/>
      <c r="E140" s="41"/>
      <c r="F140" s="42"/>
      <c r="G140" s="43"/>
      <c r="H140" s="49"/>
      <c r="I140" s="45" t="s">
        <v>12</v>
      </c>
      <c r="J140" s="46"/>
      <c r="K140" s="47"/>
      <c r="L140" s="47"/>
      <c r="M140" s="47">
        <f t="shared" ref="M140:M150" si="10">MIN(J140:L140)</f>
        <v>0</v>
      </c>
      <c r="N140" s="48" t="e">
        <f t="shared" ref="N140:N150" si="11">SUM(M140/E140)</f>
        <v>#DIV/0!</v>
      </c>
    </row>
    <row r="141" spans="3:14" s="16" customFormat="1" ht="12.75" customHeight="1" x14ac:dyDescent="0.15">
      <c r="C141" s="6" t="s">
        <v>130</v>
      </c>
      <c r="D141" s="6"/>
      <c r="E141" s="10"/>
      <c r="F141" s="10"/>
      <c r="G141" s="10"/>
      <c r="H141" s="55"/>
      <c r="I141" s="12" t="s">
        <v>3</v>
      </c>
      <c r="J141" s="56"/>
      <c r="K141" s="57"/>
      <c r="L141" s="57"/>
      <c r="M141" s="47">
        <f t="shared" si="10"/>
        <v>0</v>
      </c>
      <c r="N141" s="48" t="e">
        <f t="shared" si="11"/>
        <v>#DIV/0!</v>
      </c>
    </row>
    <row r="142" spans="3:14" s="16" customFormat="1" ht="15" customHeight="1" x14ac:dyDescent="0.15">
      <c r="C142" s="6"/>
      <c r="D142" s="6"/>
      <c r="E142" s="58" t="s">
        <v>5</v>
      </c>
      <c r="F142" s="59"/>
      <c r="G142" s="60" t="s">
        <v>6</v>
      </c>
      <c r="H142" s="61" t="s">
        <v>7</v>
      </c>
      <c r="I142" s="12"/>
      <c r="J142" s="56"/>
      <c r="K142" s="57"/>
      <c r="L142" s="57"/>
      <c r="M142" s="47">
        <f t="shared" si="10"/>
        <v>0</v>
      </c>
      <c r="N142" s="48" t="e">
        <f t="shared" si="11"/>
        <v>#VALUE!</v>
      </c>
    </row>
    <row r="143" spans="3:14" s="38" customFormat="1" ht="14" x14ac:dyDescent="0.15">
      <c r="C143" s="50" t="s">
        <v>131</v>
      </c>
      <c r="D143" s="40"/>
      <c r="E143" s="41"/>
      <c r="F143" s="42"/>
      <c r="G143" s="43"/>
      <c r="H143" s="49"/>
      <c r="I143" s="71" t="s">
        <v>12</v>
      </c>
      <c r="J143" s="46"/>
      <c r="K143" s="47"/>
      <c r="L143" s="47"/>
      <c r="M143" s="47">
        <f t="shared" si="10"/>
        <v>0</v>
      </c>
      <c r="N143" s="48" t="e">
        <f t="shared" si="11"/>
        <v>#DIV/0!</v>
      </c>
    </row>
    <row r="144" spans="3:14" s="38" customFormat="1" ht="14" x14ac:dyDescent="0.15">
      <c r="C144" s="50" t="s">
        <v>132</v>
      </c>
      <c r="D144" s="40"/>
      <c r="E144" s="41"/>
      <c r="F144" s="42"/>
      <c r="G144" s="43"/>
      <c r="H144" s="49"/>
      <c r="I144" s="71" t="s">
        <v>12</v>
      </c>
      <c r="J144" s="46"/>
      <c r="K144" s="47"/>
      <c r="L144" s="47"/>
      <c r="M144" s="47">
        <f t="shared" si="10"/>
        <v>0</v>
      </c>
      <c r="N144" s="48" t="e">
        <f t="shared" si="11"/>
        <v>#DIV/0!</v>
      </c>
    </row>
    <row r="145" spans="3:14" s="38" customFormat="1" ht="14" x14ac:dyDescent="0.15">
      <c r="C145" s="50" t="s">
        <v>133</v>
      </c>
      <c r="D145" s="40"/>
      <c r="E145" s="41"/>
      <c r="F145" s="42"/>
      <c r="G145" s="43"/>
      <c r="H145" s="49"/>
      <c r="I145" s="71" t="s">
        <v>12</v>
      </c>
      <c r="J145" s="46"/>
      <c r="K145" s="47"/>
      <c r="L145" s="47"/>
      <c r="M145" s="47">
        <f t="shared" si="10"/>
        <v>0</v>
      </c>
      <c r="N145" s="48" t="e">
        <f t="shared" si="11"/>
        <v>#DIV/0!</v>
      </c>
    </row>
    <row r="146" spans="3:14" s="38" customFormat="1" ht="14" x14ac:dyDescent="0.15">
      <c r="C146" s="50" t="s">
        <v>134</v>
      </c>
      <c r="D146" s="40"/>
      <c r="E146" s="41"/>
      <c r="F146" s="42"/>
      <c r="G146" s="43"/>
      <c r="H146" s="49"/>
      <c r="I146" s="71" t="s">
        <v>12</v>
      </c>
      <c r="J146" s="46"/>
      <c r="K146" s="47"/>
      <c r="L146" s="47"/>
      <c r="M146" s="47">
        <f t="shared" si="10"/>
        <v>0</v>
      </c>
      <c r="N146" s="48" t="e">
        <f t="shared" si="11"/>
        <v>#DIV/0!</v>
      </c>
    </row>
    <row r="147" spans="3:14" s="38" customFormat="1" ht="14" x14ac:dyDescent="0.15">
      <c r="C147" s="50" t="s">
        <v>135</v>
      </c>
      <c r="D147" s="40"/>
      <c r="E147" s="41"/>
      <c r="F147" s="42"/>
      <c r="G147" s="43"/>
      <c r="H147" s="49"/>
      <c r="I147" s="71" t="s">
        <v>12</v>
      </c>
      <c r="J147" s="46"/>
      <c r="K147" s="47"/>
      <c r="L147" s="47"/>
      <c r="M147" s="47">
        <f t="shared" si="10"/>
        <v>0</v>
      </c>
      <c r="N147" s="48" t="e">
        <f t="shared" si="11"/>
        <v>#DIV/0!</v>
      </c>
    </row>
    <row r="148" spans="3:14" s="38" customFormat="1" x14ac:dyDescent="0.15">
      <c r="C148" s="50" t="s">
        <v>136</v>
      </c>
      <c r="D148" s="40"/>
      <c r="E148" s="41"/>
      <c r="F148" s="42"/>
      <c r="G148" s="43"/>
      <c r="H148" s="49"/>
      <c r="I148" s="72"/>
      <c r="J148" s="46"/>
      <c r="K148" s="47"/>
      <c r="L148" s="47"/>
      <c r="M148" s="47">
        <f t="shared" si="10"/>
        <v>0</v>
      </c>
      <c r="N148" s="48" t="e">
        <f t="shared" si="11"/>
        <v>#DIV/0!</v>
      </c>
    </row>
    <row r="149" spans="3:14" s="38" customFormat="1" ht="14" x14ac:dyDescent="0.15">
      <c r="C149" s="50" t="s">
        <v>137</v>
      </c>
      <c r="D149" s="40"/>
      <c r="E149" s="41"/>
      <c r="F149" s="42"/>
      <c r="G149" s="43"/>
      <c r="H149" s="49"/>
      <c r="I149" s="71" t="s">
        <v>12</v>
      </c>
      <c r="J149" s="46"/>
      <c r="K149" s="47"/>
      <c r="L149" s="47"/>
      <c r="M149" s="47">
        <f t="shared" si="10"/>
        <v>0</v>
      </c>
      <c r="N149" s="48" t="e">
        <f t="shared" si="11"/>
        <v>#DIV/0!</v>
      </c>
    </row>
    <row r="150" spans="3:14" s="38" customFormat="1" ht="14" x14ac:dyDescent="0.15">
      <c r="C150" s="50" t="s">
        <v>138</v>
      </c>
      <c r="D150" s="40"/>
      <c r="E150" s="41"/>
      <c r="F150" s="42"/>
      <c r="G150" s="43"/>
      <c r="H150" s="49"/>
      <c r="I150" s="71" t="s">
        <v>12</v>
      </c>
      <c r="J150" s="46"/>
      <c r="K150" s="47"/>
      <c r="L150" s="47"/>
      <c r="M150" s="47">
        <f t="shared" si="10"/>
        <v>0</v>
      </c>
      <c r="N150" s="48" t="e">
        <f t="shared" si="11"/>
        <v>#DIV/0!</v>
      </c>
    </row>
    <row r="151" spans="3:14" s="38" customFormat="1" ht="14" x14ac:dyDescent="0.15">
      <c r="C151" s="50" t="s">
        <v>139</v>
      </c>
      <c r="D151" s="40"/>
      <c r="E151" s="41"/>
      <c r="F151" s="42"/>
      <c r="G151" s="43"/>
      <c r="H151" s="49"/>
      <c r="I151" s="71" t="s">
        <v>12</v>
      </c>
      <c r="J151" s="46"/>
      <c r="K151" s="47"/>
      <c r="L151" s="47"/>
      <c r="M151" s="47"/>
      <c r="N151" s="48"/>
    </row>
    <row r="152" spans="3:14" s="38" customFormat="1" ht="14" x14ac:dyDescent="0.15">
      <c r="C152" s="50" t="s">
        <v>140</v>
      </c>
      <c r="D152" s="40"/>
      <c r="E152" s="41"/>
      <c r="F152" s="42"/>
      <c r="G152" s="43"/>
      <c r="H152" s="49"/>
      <c r="I152" s="71" t="s">
        <v>12</v>
      </c>
      <c r="J152" s="46"/>
      <c r="K152" s="47"/>
      <c r="L152" s="47"/>
      <c r="M152" s="47"/>
      <c r="N152" s="48"/>
    </row>
    <row r="153" spans="3:14" s="38" customFormat="1" ht="14" x14ac:dyDescent="0.15">
      <c r="C153" s="50" t="s">
        <v>141</v>
      </c>
      <c r="D153" s="40"/>
      <c r="E153" s="41"/>
      <c r="F153" s="42"/>
      <c r="G153" s="43"/>
      <c r="H153" s="49"/>
      <c r="I153" s="71" t="s">
        <v>10</v>
      </c>
      <c r="J153" s="46"/>
      <c r="K153" s="47"/>
      <c r="L153" s="47"/>
      <c r="M153" s="47"/>
      <c r="N153" s="48"/>
    </row>
    <row r="154" spans="3:14" s="38" customFormat="1" x14ac:dyDescent="0.15">
      <c r="C154" s="50" t="s">
        <v>142</v>
      </c>
      <c r="D154" s="40"/>
      <c r="E154" s="41"/>
      <c r="F154" s="42"/>
      <c r="G154" s="43"/>
      <c r="H154" s="49"/>
      <c r="I154" s="72"/>
      <c r="J154" s="46"/>
      <c r="K154" s="47"/>
      <c r="L154" s="47"/>
      <c r="M154" s="47"/>
      <c r="N154" s="48"/>
    </row>
    <row r="155" spans="3:14" s="38" customFormat="1" ht="14" x14ac:dyDescent="0.15">
      <c r="C155" s="50" t="s">
        <v>143</v>
      </c>
      <c r="D155" s="40"/>
      <c r="E155" s="41"/>
      <c r="F155" s="42"/>
      <c r="G155" s="43"/>
      <c r="H155" s="49"/>
      <c r="I155" s="71" t="s">
        <v>12</v>
      </c>
      <c r="J155" s="46"/>
      <c r="K155" s="47"/>
      <c r="L155" s="47"/>
      <c r="M155" s="47">
        <f>MIN(J155:L155)</f>
        <v>0</v>
      </c>
      <c r="N155" s="48" t="e">
        <f>SUM(M155/E155)</f>
        <v>#DIV/0!</v>
      </c>
    </row>
    <row r="156" spans="3:14" x14ac:dyDescent="0.15">
      <c r="C156" s="51" t="s">
        <v>144</v>
      </c>
      <c r="D156" s="40"/>
      <c r="E156" s="41"/>
      <c r="F156" s="42"/>
      <c r="G156" s="43"/>
      <c r="H156" s="49"/>
      <c r="I156" s="73" t="s">
        <v>12</v>
      </c>
      <c r="J156" s="74"/>
      <c r="K156" s="75"/>
      <c r="L156" s="75"/>
      <c r="M156" s="47">
        <f>MIN(J156:L156)</f>
        <v>0</v>
      </c>
      <c r="N156" s="48" t="e">
        <f>SUM(M156/E156)</f>
        <v>#DIV/0!</v>
      </c>
    </row>
    <row r="157" spans="3:14" x14ac:dyDescent="0.15">
      <c r="C157" s="51" t="s">
        <v>145</v>
      </c>
      <c r="D157" s="40"/>
      <c r="E157" s="41"/>
      <c r="F157" s="42"/>
      <c r="G157" s="43"/>
      <c r="H157" s="49"/>
      <c r="I157" s="73" t="s">
        <v>12</v>
      </c>
      <c r="J157" s="74"/>
      <c r="K157" s="75"/>
      <c r="L157" s="75"/>
      <c r="M157" s="47"/>
      <c r="N157" s="48"/>
    </row>
    <row r="158" spans="3:14" x14ac:dyDescent="0.15">
      <c r="C158" s="51" t="s">
        <v>146</v>
      </c>
      <c r="D158" s="40"/>
      <c r="E158" s="41"/>
      <c r="F158" s="42"/>
      <c r="G158" s="43"/>
      <c r="H158" s="49"/>
      <c r="I158" s="73"/>
      <c r="J158" s="74"/>
      <c r="K158" s="75"/>
      <c r="L158" s="75"/>
      <c r="M158" s="47"/>
      <c r="N158" s="48"/>
    </row>
    <row r="159" spans="3:14" x14ac:dyDescent="0.15">
      <c r="C159" s="51" t="s">
        <v>147</v>
      </c>
      <c r="D159" s="40"/>
      <c r="E159" s="41"/>
      <c r="F159" s="42"/>
      <c r="G159" s="43"/>
      <c r="H159" s="49"/>
      <c r="I159" s="73" t="s">
        <v>12</v>
      </c>
      <c r="J159" s="74"/>
      <c r="K159" s="75"/>
      <c r="L159" s="75"/>
      <c r="M159" s="47"/>
      <c r="N159" s="48"/>
    </row>
    <row r="160" spans="3:14" x14ac:dyDescent="0.15">
      <c r="C160" s="51" t="s">
        <v>148</v>
      </c>
      <c r="D160" s="40"/>
      <c r="E160" s="41"/>
      <c r="F160" s="42"/>
      <c r="G160" s="43"/>
      <c r="H160" s="49"/>
      <c r="I160" s="73" t="s">
        <v>12</v>
      </c>
      <c r="J160" s="74"/>
      <c r="K160" s="75"/>
      <c r="L160" s="75"/>
      <c r="M160" s="47"/>
      <c r="N160" s="48"/>
    </row>
    <row r="161" spans="3:14" x14ac:dyDescent="0.15">
      <c r="C161" s="51" t="s">
        <v>149</v>
      </c>
      <c r="D161" s="40"/>
      <c r="E161" s="41"/>
      <c r="F161" s="42"/>
      <c r="G161" s="43"/>
      <c r="H161" s="49"/>
      <c r="I161" s="73" t="s">
        <v>12</v>
      </c>
      <c r="J161" s="74"/>
      <c r="K161" s="75"/>
      <c r="L161" s="75"/>
      <c r="M161" s="47"/>
      <c r="N161" s="48"/>
    </row>
    <row r="162" spans="3:14" x14ac:dyDescent="0.15">
      <c r="C162" s="51" t="s">
        <v>150</v>
      </c>
      <c r="D162" s="40"/>
      <c r="E162" s="41"/>
      <c r="F162" s="42"/>
      <c r="G162" s="43"/>
      <c r="H162" s="49"/>
      <c r="I162" s="73" t="s">
        <v>12</v>
      </c>
      <c r="J162" s="74"/>
      <c r="K162" s="75"/>
      <c r="L162" s="75"/>
      <c r="M162" s="47"/>
      <c r="N162" s="48"/>
    </row>
    <row r="163" spans="3:14" x14ac:dyDescent="0.15">
      <c r="C163" s="51" t="s">
        <v>151</v>
      </c>
      <c r="D163" s="40"/>
      <c r="E163" s="41"/>
      <c r="F163" s="42"/>
      <c r="G163" s="43"/>
      <c r="H163" s="49"/>
      <c r="I163" s="73" t="s">
        <v>12</v>
      </c>
      <c r="J163" s="74"/>
      <c r="K163" s="75"/>
      <c r="L163" s="75"/>
      <c r="M163" s="47"/>
      <c r="N163" s="48"/>
    </row>
    <row r="164" spans="3:14" x14ac:dyDescent="0.15">
      <c r="C164" s="51" t="s">
        <v>152</v>
      </c>
      <c r="D164" s="40"/>
      <c r="E164" s="41"/>
      <c r="F164" s="42"/>
      <c r="G164" s="43"/>
      <c r="H164" s="49"/>
      <c r="I164" s="73" t="s">
        <v>12</v>
      </c>
      <c r="J164" s="74"/>
      <c r="K164" s="75"/>
      <c r="L164" s="75"/>
      <c r="M164" s="47"/>
      <c r="N164" s="48"/>
    </row>
    <row r="165" spans="3:14" x14ac:dyDescent="0.15">
      <c r="C165" s="51" t="s">
        <v>153</v>
      </c>
      <c r="D165" s="40"/>
      <c r="E165" s="41"/>
      <c r="F165" s="42"/>
      <c r="G165" s="43"/>
      <c r="H165" s="49"/>
      <c r="I165" s="73" t="s">
        <v>70</v>
      </c>
      <c r="J165" s="74"/>
      <c r="K165" s="75"/>
      <c r="L165" s="75"/>
      <c r="M165" s="47"/>
      <c r="N165" s="48"/>
    </row>
    <row r="166" spans="3:14" x14ac:dyDescent="0.15">
      <c r="C166" s="51" t="s">
        <v>154</v>
      </c>
      <c r="D166" s="40"/>
      <c r="E166" s="41"/>
      <c r="F166" s="42"/>
      <c r="G166" s="43"/>
      <c r="H166" s="49"/>
      <c r="I166" s="73" t="s">
        <v>10</v>
      </c>
      <c r="J166" s="74"/>
      <c r="K166" s="75"/>
      <c r="L166" s="75"/>
      <c r="M166" s="47"/>
      <c r="N166" s="48"/>
    </row>
    <row r="167" spans="3:14" x14ac:dyDescent="0.15">
      <c r="C167" s="51" t="s">
        <v>155</v>
      </c>
      <c r="D167" s="40"/>
      <c r="E167" s="41"/>
      <c r="F167" s="42"/>
      <c r="G167" s="43"/>
      <c r="H167" s="49"/>
      <c r="I167" s="73" t="s">
        <v>12</v>
      </c>
      <c r="J167" s="74"/>
      <c r="K167" s="75"/>
      <c r="L167" s="75"/>
      <c r="M167" s="47"/>
      <c r="N167" s="48"/>
    </row>
    <row r="168" spans="3:14" x14ac:dyDescent="0.15">
      <c r="C168" s="51" t="s">
        <v>156</v>
      </c>
      <c r="D168" s="40"/>
      <c r="E168" s="41"/>
      <c r="F168" s="42"/>
      <c r="G168" s="43"/>
      <c r="H168" s="49"/>
      <c r="I168" s="73" t="s">
        <v>12</v>
      </c>
      <c r="J168" s="74"/>
      <c r="K168" s="75"/>
      <c r="L168" s="75"/>
      <c r="M168" s="47"/>
      <c r="N168" s="48"/>
    </row>
    <row r="169" spans="3:14" x14ac:dyDescent="0.15">
      <c r="C169" s="51" t="s">
        <v>157</v>
      </c>
      <c r="D169" s="40"/>
      <c r="E169" s="41"/>
      <c r="F169" s="42"/>
      <c r="G169" s="43"/>
      <c r="H169" s="49"/>
      <c r="I169" s="73" t="s">
        <v>12</v>
      </c>
      <c r="J169" s="74"/>
      <c r="K169" s="75"/>
      <c r="L169" s="75"/>
      <c r="M169" s="47"/>
      <c r="N169" s="48"/>
    </row>
    <row r="170" spans="3:14" x14ac:dyDescent="0.15">
      <c r="C170" s="51" t="s">
        <v>158</v>
      </c>
      <c r="D170" s="40"/>
      <c r="E170" s="41"/>
      <c r="F170" s="42"/>
      <c r="G170" s="43"/>
      <c r="H170" s="49"/>
      <c r="I170" s="73" t="s">
        <v>12</v>
      </c>
      <c r="J170" s="74"/>
      <c r="K170" s="75"/>
      <c r="L170" s="75"/>
      <c r="M170" s="47"/>
      <c r="N170" s="48"/>
    </row>
    <row r="171" spans="3:14" x14ac:dyDescent="0.15">
      <c r="C171" s="51" t="s">
        <v>159</v>
      </c>
      <c r="D171" s="40"/>
      <c r="E171" s="41"/>
      <c r="F171" s="42"/>
      <c r="G171" s="43"/>
      <c r="H171" s="49"/>
      <c r="I171" s="73" t="s">
        <v>10</v>
      </c>
      <c r="J171" s="74"/>
      <c r="K171" s="75"/>
      <c r="L171" s="75"/>
      <c r="M171" s="47"/>
      <c r="N171" s="48"/>
    </row>
    <row r="172" spans="3:14" x14ac:dyDescent="0.15">
      <c r="C172" s="51" t="s">
        <v>140</v>
      </c>
      <c r="D172" s="40"/>
      <c r="E172" s="41"/>
      <c r="F172" s="42"/>
      <c r="G172" s="43"/>
      <c r="H172" s="49"/>
      <c r="I172" s="73" t="s">
        <v>12</v>
      </c>
      <c r="J172" s="74"/>
      <c r="K172" s="75"/>
      <c r="L172" s="75"/>
      <c r="M172" s="47"/>
      <c r="N172" s="48"/>
    </row>
    <row r="173" spans="3:14" x14ac:dyDescent="0.15">
      <c r="C173" s="51" t="s">
        <v>160</v>
      </c>
      <c r="D173" s="40"/>
      <c r="E173" s="41"/>
      <c r="F173" s="42"/>
      <c r="G173" s="43"/>
      <c r="H173" s="49"/>
      <c r="I173" s="73" t="s">
        <v>10</v>
      </c>
      <c r="J173" s="74"/>
      <c r="K173" s="75"/>
      <c r="L173" s="75"/>
      <c r="M173" s="47"/>
      <c r="N173" s="48"/>
    </row>
    <row r="174" spans="3:14" x14ac:dyDescent="0.15">
      <c r="C174" s="51" t="s">
        <v>161</v>
      </c>
      <c r="D174" s="40"/>
      <c r="E174" s="41"/>
      <c r="F174" s="42"/>
      <c r="G174" s="43"/>
      <c r="H174" s="49"/>
      <c r="I174" s="73" t="s">
        <v>12</v>
      </c>
      <c r="J174" s="74"/>
      <c r="K174" s="75"/>
      <c r="L174" s="75"/>
      <c r="M174" s="47"/>
      <c r="N174" s="48"/>
    </row>
    <row r="175" spans="3:14" x14ac:dyDescent="0.15">
      <c r="C175" s="51" t="s">
        <v>162</v>
      </c>
      <c r="D175" s="40"/>
      <c r="E175" s="41"/>
      <c r="F175" s="42"/>
      <c r="G175" s="43"/>
      <c r="H175" s="49"/>
      <c r="I175" s="73" t="s">
        <v>12</v>
      </c>
      <c r="J175" s="74"/>
      <c r="K175" s="75"/>
      <c r="L175" s="75"/>
      <c r="M175" s="47"/>
      <c r="N175" s="48"/>
    </row>
    <row r="176" spans="3:14" x14ac:dyDescent="0.15">
      <c r="C176" s="51" t="s">
        <v>163</v>
      </c>
      <c r="D176" s="40"/>
      <c r="E176" s="41"/>
      <c r="F176" s="42"/>
      <c r="G176" s="43"/>
      <c r="H176" s="49"/>
      <c r="I176" s="73" t="s">
        <v>12</v>
      </c>
      <c r="J176" s="74"/>
      <c r="K176" s="75"/>
      <c r="L176" s="75"/>
      <c r="M176" s="47"/>
      <c r="N176" s="48"/>
    </row>
    <row r="177" spans="3:14" x14ac:dyDescent="0.15">
      <c r="C177" s="51" t="s">
        <v>164</v>
      </c>
      <c r="D177" s="40"/>
      <c r="E177" s="41"/>
      <c r="F177" s="42"/>
      <c r="G177" s="43"/>
      <c r="H177" s="49"/>
      <c r="I177" s="73" t="s">
        <v>12</v>
      </c>
      <c r="J177" s="74"/>
      <c r="K177" s="75"/>
      <c r="L177" s="75"/>
      <c r="M177" s="47"/>
      <c r="N177" s="48"/>
    </row>
    <row r="178" spans="3:14" x14ac:dyDescent="0.15">
      <c r="C178" s="51" t="s">
        <v>165</v>
      </c>
      <c r="D178" s="40"/>
      <c r="E178" s="41"/>
      <c r="F178" s="42"/>
      <c r="G178" s="43"/>
      <c r="H178" s="49"/>
      <c r="I178" s="73" t="s">
        <v>10</v>
      </c>
      <c r="J178" s="74"/>
      <c r="K178" s="75"/>
      <c r="L178" s="75"/>
      <c r="M178" s="47"/>
      <c r="N178" s="48"/>
    </row>
    <row r="179" spans="3:14" x14ac:dyDescent="0.15">
      <c r="C179" s="51" t="s">
        <v>166</v>
      </c>
      <c r="D179" s="40"/>
      <c r="E179" s="41"/>
      <c r="F179" s="42"/>
      <c r="G179" s="43"/>
      <c r="H179" s="49"/>
      <c r="I179" s="73" t="s">
        <v>12</v>
      </c>
      <c r="J179" s="74"/>
      <c r="K179" s="75"/>
      <c r="L179" s="75"/>
      <c r="M179" s="47"/>
      <c r="N179" s="48"/>
    </row>
    <row r="180" spans="3:14" x14ac:dyDescent="0.15">
      <c r="C180" s="51" t="s">
        <v>167</v>
      </c>
      <c r="D180" s="40"/>
      <c r="E180" s="41"/>
      <c r="F180" s="42"/>
      <c r="G180" s="43"/>
      <c r="H180" s="49"/>
      <c r="I180" s="73" t="s">
        <v>12</v>
      </c>
      <c r="J180" s="74"/>
      <c r="K180" s="75"/>
      <c r="L180" s="75"/>
      <c r="M180" s="47"/>
      <c r="N180" s="48"/>
    </row>
    <row r="181" spans="3:14" x14ac:dyDescent="0.15">
      <c r="C181" s="51" t="s">
        <v>168</v>
      </c>
      <c r="D181" s="40"/>
      <c r="E181" s="41"/>
      <c r="F181" s="42"/>
      <c r="G181" s="43"/>
      <c r="H181" s="49"/>
      <c r="I181" s="73" t="s">
        <v>12</v>
      </c>
      <c r="J181" s="74"/>
      <c r="K181" s="75"/>
      <c r="L181" s="75"/>
      <c r="M181" s="47"/>
      <c r="N181" s="48"/>
    </row>
    <row r="182" spans="3:14" x14ac:dyDescent="0.15">
      <c r="C182" s="51" t="s">
        <v>169</v>
      </c>
      <c r="D182" s="40"/>
      <c r="E182" s="41"/>
      <c r="F182" s="42"/>
      <c r="G182" s="43"/>
      <c r="H182" s="49"/>
      <c r="I182" s="73" t="s">
        <v>12</v>
      </c>
      <c r="J182" s="74"/>
      <c r="K182" s="75"/>
      <c r="L182" s="75"/>
      <c r="M182" s="47"/>
      <c r="N182" s="48"/>
    </row>
    <row r="183" spans="3:14" x14ac:dyDescent="0.15">
      <c r="C183" s="51" t="s">
        <v>170</v>
      </c>
      <c r="D183" s="40"/>
      <c r="E183" s="41"/>
      <c r="F183" s="42"/>
      <c r="G183" s="43"/>
      <c r="H183" s="49"/>
      <c r="I183" s="73" t="s">
        <v>12</v>
      </c>
      <c r="J183" s="74"/>
      <c r="K183" s="75"/>
      <c r="L183" s="75"/>
      <c r="M183" s="47"/>
      <c r="N183" s="48"/>
    </row>
    <row r="184" spans="3:14" x14ac:dyDescent="0.15">
      <c r="C184" s="51" t="s">
        <v>171</v>
      </c>
      <c r="D184" s="40"/>
      <c r="E184" s="41"/>
      <c r="F184" s="42"/>
      <c r="G184" s="43"/>
      <c r="H184" s="49"/>
      <c r="I184" s="73" t="s">
        <v>12</v>
      </c>
      <c r="J184" s="74"/>
      <c r="K184" s="75"/>
      <c r="L184" s="75"/>
      <c r="M184" s="47"/>
      <c r="N184" s="48"/>
    </row>
    <row r="185" spans="3:14" x14ac:dyDescent="0.15">
      <c r="C185" s="51" t="s">
        <v>172</v>
      </c>
      <c r="D185" s="40"/>
      <c r="E185" s="41"/>
      <c r="F185" s="42"/>
      <c r="G185" s="43"/>
      <c r="H185" s="49"/>
      <c r="I185" s="73" t="s">
        <v>12</v>
      </c>
      <c r="J185" s="74"/>
      <c r="K185" s="75"/>
      <c r="L185" s="75"/>
      <c r="M185" s="47"/>
      <c r="N185" s="48"/>
    </row>
    <row r="186" spans="3:14" x14ac:dyDescent="0.15">
      <c r="C186" s="51" t="s">
        <v>173</v>
      </c>
      <c r="D186" s="40"/>
      <c r="E186" s="41"/>
      <c r="F186" s="42"/>
      <c r="G186" s="43"/>
      <c r="H186" s="49"/>
      <c r="I186" s="73" t="s">
        <v>12</v>
      </c>
      <c r="J186" s="74"/>
      <c r="K186" s="75"/>
      <c r="L186" s="75"/>
      <c r="M186" s="47"/>
      <c r="N186" s="48"/>
    </row>
    <row r="187" spans="3:14" x14ac:dyDescent="0.15">
      <c r="C187" s="51" t="s">
        <v>174</v>
      </c>
      <c r="D187" s="40"/>
      <c r="E187" s="41"/>
      <c r="F187" s="42"/>
      <c r="G187" s="43"/>
      <c r="H187" s="49"/>
      <c r="I187" s="73" t="s">
        <v>12</v>
      </c>
      <c r="J187" s="74"/>
      <c r="K187" s="75"/>
      <c r="L187" s="75"/>
      <c r="M187" s="47"/>
      <c r="N187" s="48"/>
    </row>
    <row r="188" spans="3:14" x14ac:dyDescent="0.15">
      <c r="C188" s="51" t="s">
        <v>175</v>
      </c>
      <c r="D188" s="40"/>
      <c r="E188" s="41"/>
      <c r="F188" s="42"/>
      <c r="G188" s="43"/>
      <c r="H188" s="49"/>
      <c r="I188" s="73" t="s">
        <v>12</v>
      </c>
      <c r="J188" s="74"/>
      <c r="K188" s="75"/>
      <c r="L188" s="75"/>
      <c r="M188" s="47"/>
      <c r="N188" s="48"/>
    </row>
    <row r="189" spans="3:14" x14ac:dyDescent="0.15">
      <c r="C189" s="51" t="s">
        <v>176</v>
      </c>
      <c r="D189" s="40"/>
      <c r="E189" s="41"/>
      <c r="F189" s="42"/>
      <c r="G189" s="43"/>
      <c r="H189" s="49"/>
      <c r="I189" s="73" t="s">
        <v>12</v>
      </c>
      <c r="J189" s="74"/>
      <c r="K189" s="75"/>
      <c r="L189" s="75"/>
      <c r="M189" s="47"/>
      <c r="N189" s="48"/>
    </row>
    <row r="190" spans="3:14" x14ac:dyDescent="0.15">
      <c r="C190" s="51"/>
      <c r="D190" s="40"/>
      <c r="E190" s="41"/>
      <c r="F190" s="42"/>
      <c r="G190" s="43"/>
      <c r="H190" s="49"/>
      <c r="I190" s="73"/>
      <c r="J190" s="74"/>
      <c r="K190" s="75"/>
      <c r="L190" s="75"/>
      <c r="M190" s="47"/>
      <c r="N190" s="48"/>
    </row>
    <row r="191" spans="3:14" x14ac:dyDescent="0.15">
      <c r="C191" s="51"/>
      <c r="D191" s="40"/>
      <c r="E191" s="41"/>
      <c r="F191" s="42"/>
      <c r="G191" s="43"/>
      <c r="H191" s="49"/>
      <c r="I191" s="73"/>
      <c r="J191" s="74"/>
      <c r="K191" s="75"/>
      <c r="L191" s="75"/>
      <c r="M191" s="47"/>
      <c r="N191" s="48"/>
    </row>
    <row r="192" spans="3:14" ht="14" x14ac:dyDescent="0.15">
      <c r="C192" s="51" t="s">
        <v>177</v>
      </c>
      <c r="D192" s="40"/>
      <c r="E192" s="76"/>
      <c r="F192" s="77"/>
      <c r="G192" s="78"/>
      <c r="H192" s="63"/>
      <c r="I192" s="79" t="s">
        <v>178</v>
      </c>
      <c r="J192" s="74"/>
      <c r="K192" s="75"/>
      <c r="L192" s="75"/>
      <c r="M192" s="47">
        <f>MIN(J192:L192)</f>
        <v>0</v>
      </c>
      <c r="N192" s="48" t="e">
        <f>SUM(M192/E192)</f>
        <v>#DIV/0!</v>
      </c>
    </row>
    <row r="193" spans="3:14" x14ac:dyDescent="0.15">
      <c r="C193" s="64"/>
      <c r="D193" s="80"/>
      <c r="E193" s="66"/>
      <c r="F193" s="66"/>
      <c r="G193" s="81"/>
      <c r="H193" s="82"/>
      <c r="I193" s="83"/>
      <c r="J193" s="74"/>
      <c r="K193" s="75"/>
      <c r="L193" s="75"/>
      <c r="M193" s="47"/>
      <c r="N193" s="48"/>
    </row>
    <row r="194" spans="3:14" s="16" customFormat="1" ht="16.5" customHeight="1" x14ac:dyDescent="0.15">
      <c r="C194" s="5" t="s">
        <v>179</v>
      </c>
      <c r="D194" s="5"/>
      <c r="E194" s="8"/>
      <c r="F194" s="8"/>
      <c r="G194" s="8"/>
      <c r="H194" s="70"/>
      <c r="I194" s="7" t="s">
        <v>3</v>
      </c>
      <c r="J194" s="56"/>
      <c r="K194" s="57"/>
      <c r="L194" s="57"/>
      <c r="M194" s="47">
        <f t="shared" ref="M194:M211" si="12">MIN(J194:L194)</f>
        <v>0</v>
      </c>
      <c r="N194" s="48" t="e">
        <f t="shared" ref="N194:N211" si="13">SUM(M194/E194)</f>
        <v>#DIV/0!</v>
      </c>
    </row>
    <row r="195" spans="3:14" s="16" customFormat="1" ht="16.5" customHeight="1" x14ac:dyDescent="0.15">
      <c r="C195" s="5"/>
      <c r="D195" s="5"/>
      <c r="E195" s="58" t="s">
        <v>5</v>
      </c>
      <c r="F195" s="59"/>
      <c r="G195" s="60" t="s">
        <v>6</v>
      </c>
      <c r="H195" s="61" t="s">
        <v>7</v>
      </c>
      <c r="I195" s="7"/>
      <c r="J195" s="56"/>
      <c r="K195" s="57"/>
      <c r="L195" s="57"/>
      <c r="M195" s="47">
        <f t="shared" si="12"/>
        <v>0</v>
      </c>
      <c r="N195" s="48" t="e">
        <f t="shared" si="13"/>
        <v>#VALUE!</v>
      </c>
    </row>
    <row r="196" spans="3:14" x14ac:dyDescent="0.15">
      <c r="C196" s="39" t="s">
        <v>180</v>
      </c>
      <c r="D196" s="40"/>
      <c r="E196" s="41"/>
      <c r="F196" s="42"/>
      <c r="G196" s="43"/>
      <c r="H196" s="49"/>
      <c r="I196" s="84" t="s">
        <v>12</v>
      </c>
      <c r="J196" s="74"/>
      <c r="K196" s="75"/>
      <c r="L196" s="75"/>
      <c r="M196" s="47">
        <f t="shared" si="12"/>
        <v>0</v>
      </c>
      <c r="N196" s="48" t="e">
        <f t="shared" si="13"/>
        <v>#DIV/0!</v>
      </c>
    </row>
    <row r="197" spans="3:14" x14ac:dyDescent="0.15">
      <c r="C197" s="39" t="s">
        <v>181</v>
      </c>
      <c r="D197" s="40"/>
      <c r="E197" s="41"/>
      <c r="F197" s="42"/>
      <c r="G197" s="43"/>
      <c r="H197" s="49"/>
      <c r="I197" s="84" t="s">
        <v>12</v>
      </c>
      <c r="J197" s="74"/>
      <c r="K197" s="75"/>
      <c r="L197" s="75"/>
      <c r="M197" s="47">
        <f t="shared" si="12"/>
        <v>0</v>
      </c>
      <c r="N197" s="48" t="e">
        <f t="shared" si="13"/>
        <v>#DIV/0!</v>
      </c>
    </row>
    <row r="198" spans="3:14" x14ac:dyDescent="0.15">
      <c r="C198" s="39" t="s">
        <v>182</v>
      </c>
      <c r="D198" s="40"/>
      <c r="E198" s="41"/>
      <c r="F198" s="42"/>
      <c r="G198" s="43"/>
      <c r="H198" s="49"/>
      <c r="I198" s="84" t="s">
        <v>12</v>
      </c>
      <c r="J198" s="74"/>
      <c r="K198" s="75"/>
      <c r="L198" s="75"/>
      <c r="M198" s="47">
        <f t="shared" si="12"/>
        <v>0</v>
      </c>
      <c r="N198" s="48" t="e">
        <f t="shared" si="13"/>
        <v>#DIV/0!</v>
      </c>
    </row>
    <row r="199" spans="3:14" x14ac:dyDescent="0.15">
      <c r="C199" s="39" t="s">
        <v>183</v>
      </c>
      <c r="D199" s="40"/>
      <c r="E199" s="41"/>
      <c r="F199" s="42"/>
      <c r="G199" s="43"/>
      <c r="H199" s="49"/>
      <c r="I199" s="84" t="s">
        <v>12</v>
      </c>
      <c r="J199" s="74"/>
      <c r="K199" s="75"/>
      <c r="L199" s="75"/>
      <c r="M199" s="47">
        <f t="shared" si="12"/>
        <v>0</v>
      </c>
      <c r="N199" s="48" t="e">
        <f t="shared" si="13"/>
        <v>#DIV/0!</v>
      </c>
    </row>
    <row r="200" spans="3:14" x14ac:dyDescent="0.15">
      <c r="C200" s="39" t="s">
        <v>184</v>
      </c>
      <c r="D200" s="40"/>
      <c r="E200" s="41"/>
      <c r="F200" s="42"/>
      <c r="G200" s="43"/>
      <c r="H200" s="49"/>
      <c r="I200" s="84" t="s">
        <v>12</v>
      </c>
      <c r="J200" s="74"/>
      <c r="K200" s="75"/>
      <c r="L200" s="75"/>
      <c r="M200" s="47">
        <f t="shared" si="12"/>
        <v>0</v>
      </c>
      <c r="N200" s="48" t="e">
        <f t="shared" si="13"/>
        <v>#DIV/0!</v>
      </c>
    </row>
    <row r="201" spans="3:14" x14ac:dyDescent="0.15">
      <c r="C201" s="39" t="s">
        <v>185</v>
      </c>
      <c r="D201" s="40"/>
      <c r="E201" s="41"/>
      <c r="F201" s="42"/>
      <c r="G201" s="43"/>
      <c r="H201" s="49"/>
      <c r="I201" s="84"/>
      <c r="J201" s="74"/>
      <c r="K201" s="75"/>
      <c r="L201" s="75"/>
      <c r="M201" s="47">
        <f t="shared" si="12"/>
        <v>0</v>
      </c>
      <c r="N201" s="48" t="e">
        <f t="shared" si="13"/>
        <v>#DIV/0!</v>
      </c>
    </row>
    <row r="202" spans="3:14" x14ac:dyDescent="0.15">
      <c r="C202" s="39" t="s">
        <v>186</v>
      </c>
      <c r="D202" s="40"/>
      <c r="E202" s="41"/>
      <c r="F202" s="42"/>
      <c r="G202" s="43"/>
      <c r="H202" s="49"/>
      <c r="I202" s="84"/>
      <c r="J202" s="74"/>
      <c r="K202" s="75"/>
      <c r="L202" s="75"/>
      <c r="M202" s="47">
        <f t="shared" si="12"/>
        <v>0</v>
      </c>
      <c r="N202" s="48" t="e">
        <f t="shared" si="13"/>
        <v>#DIV/0!</v>
      </c>
    </row>
    <row r="203" spans="3:14" x14ac:dyDescent="0.15">
      <c r="C203" s="39" t="s">
        <v>187</v>
      </c>
      <c r="D203" s="40"/>
      <c r="E203" s="41"/>
      <c r="F203" s="42"/>
      <c r="G203" s="43"/>
      <c r="H203" s="49"/>
      <c r="I203" s="84" t="s">
        <v>12</v>
      </c>
      <c r="J203" s="74"/>
      <c r="K203" s="75"/>
      <c r="L203" s="75"/>
      <c r="M203" s="47">
        <f t="shared" si="12"/>
        <v>0</v>
      </c>
      <c r="N203" s="48" t="e">
        <f t="shared" si="13"/>
        <v>#DIV/0!</v>
      </c>
    </row>
    <row r="204" spans="3:14" x14ac:dyDescent="0.15">
      <c r="C204" s="39" t="s">
        <v>188</v>
      </c>
      <c r="D204" s="40"/>
      <c r="E204" s="41"/>
      <c r="F204" s="42"/>
      <c r="G204" s="43"/>
      <c r="H204" s="49"/>
      <c r="I204" s="84" t="s">
        <v>12</v>
      </c>
      <c r="J204" s="74"/>
      <c r="K204" s="75"/>
      <c r="L204" s="75"/>
      <c r="M204" s="47">
        <f t="shared" si="12"/>
        <v>0</v>
      </c>
      <c r="N204" s="48" t="e">
        <f t="shared" si="13"/>
        <v>#DIV/0!</v>
      </c>
    </row>
    <row r="205" spans="3:14" x14ac:dyDescent="0.15">
      <c r="C205" s="39" t="s">
        <v>189</v>
      </c>
      <c r="D205" s="40"/>
      <c r="E205" s="41"/>
      <c r="F205" s="42"/>
      <c r="G205" s="43"/>
      <c r="H205" s="49"/>
      <c r="I205" s="84" t="s">
        <v>12</v>
      </c>
      <c r="J205" s="74"/>
      <c r="K205" s="75"/>
      <c r="L205" s="75"/>
      <c r="M205" s="47">
        <f t="shared" si="12"/>
        <v>0</v>
      </c>
      <c r="N205" s="48" t="e">
        <f t="shared" si="13"/>
        <v>#DIV/0!</v>
      </c>
    </row>
    <row r="206" spans="3:14" x14ac:dyDescent="0.15">
      <c r="C206" s="39" t="s">
        <v>190</v>
      </c>
      <c r="D206" s="40"/>
      <c r="E206" s="41"/>
      <c r="F206" s="42"/>
      <c r="G206" s="43"/>
      <c r="H206" s="49"/>
      <c r="I206" s="84" t="s">
        <v>12</v>
      </c>
      <c r="J206" s="74"/>
      <c r="K206" s="75"/>
      <c r="L206" s="75"/>
      <c r="M206" s="47">
        <f t="shared" si="12"/>
        <v>0</v>
      </c>
      <c r="N206" s="48" t="e">
        <f t="shared" si="13"/>
        <v>#DIV/0!</v>
      </c>
    </row>
    <row r="207" spans="3:14" x14ac:dyDescent="0.15">
      <c r="C207" s="39" t="s">
        <v>191</v>
      </c>
      <c r="D207" s="40"/>
      <c r="E207" s="41"/>
      <c r="F207" s="42"/>
      <c r="G207" s="43"/>
      <c r="H207" s="49"/>
      <c r="I207" s="84"/>
      <c r="J207" s="74"/>
      <c r="K207" s="75"/>
      <c r="L207" s="75"/>
      <c r="M207" s="47">
        <f t="shared" si="12"/>
        <v>0</v>
      </c>
      <c r="N207" s="48" t="e">
        <f t="shared" si="13"/>
        <v>#DIV/0!</v>
      </c>
    </row>
    <row r="208" spans="3:14" x14ac:dyDescent="0.15">
      <c r="C208" s="51" t="s">
        <v>192</v>
      </c>
      <c r="D208" s="40"/>
      <c r="E208" s="41"/>
      <c r="F208" s="42"/>
      <c r="G208" s="43"/>
      <c r="H208" s="49"/>
      <c r="I208" s="84" t="s">
        <v>12</v>
      </c>
      <c r="J208" s="74"/>
      <c r="K208" s="75"/>
      <c r="L208" s="75"/>
      <c r="M208" s="47">
        <f t="shared" si="12"/>
        <v>0</v>
      </c>
      <c r="N208" s="48" t="e">
        <f t="shared" si="13"/>
        <v>#DIV/0!</v>
      </c>
    </row>
    <row r="209" spans="1:14" x14ac:dyDescent="0.15">
      <c r="C209" s="51" t="s">
        <v>193</v>
      </c>
      <c r="D209" s="40"/>
      <c r="E209" s="41"/>
      <c r="F209" s="42"/>
      <c r="G209" s="43"/>
      <c r="H209" s="49"/>
      <c r="I209" s="84" t="s">
        <v>12</v>
      </c>
      <c r="J209" s="74"/>
      <c r="K209" s="75"/>
      <c r="L209" s="75"/>
      <c r="M209" s="47">
        <f t="shared" si="12"/>
        <v>0</v>
      </c>
      <c r="N209" s="48" t="e">
        <f t="shared" si="13"/>
        <v>#DIV/0!</v>
      </c>
    </row>
    <row r="210" spans="1:14" x14ac:dyDescent="0.15">
      <c r="C210" s="51" t="s">
        <v>194</v>
      </c>
      <c r="D210" s="42"/>
      <c r="E210" s="41"/>
      <c r="F210" s="42"/>
      <c r="G210" s="43"/>
      <c r="H210" s="49"/>
      <c r="I210" s="85" t="s">
        <v>12</v>
      </c>
      <c r="J210" s="74"/>
      <c r="K210" s="75"/>
      <c r="L210" s="75"/>
      <c r="M210" s="47">
        <f t="shared" si="12"/>
        <v>0</v>
      </c>
      <c r="N210" s="48" t="e">
        <f t="shared" si="13"/>
        <v>#DIV/0!</v>
      </c>
    </row>
    <row r="211" spans="1:14" ht="14" x14ac:dyDescent="0.15">
      <c r="C211" s="86" t="s">
        <v>195</v>
      </c>
      <c r="D211" s="87"/>
      <c r="E211" s="65"/>
      <c r="F211" s="77"/>
      <c r="G211" s="78"/>
      <c r="H211" s="63"/>
      <c r="I211" s="88" t="s">
        <v>12</v>
      </c>
      <c r="J211" s="74"/>
      <c r="K211" s="75"/>
      <c r="L211" s="75"/>
      <c r="M211" s="47">
        <f t="shared" si="12"/>
        <v>0</v>
      </c>
      <c r="N211" s="48" t="e">
        <f t="shared" si="13"/>
        <v>#DIV/0!</v>
      </c>
    </row>
    <row r="212" spans="1:14" x14ac:dyDescent="0.15">
      <c r="C212" s="4"/>
      <c r="D212" s="4"/>
      <c r="E212" s="56"/>
      <c r="F212" s="89"/>
      <c r="G212" s="90"/>
      <c r="H212" s="53"/>
      <c r="I212" s="91"/>
    </row>
    <row r="213" spans="1:14" ht="13.5" customHeight="1" x14ac:dyDescent="0.15">
      <c r="C213" s="4" t="s">
        <v>196</v>
      </c>
      <c r="D213" s="4"/>
      <c r="E213" s="46"/>
      <c r="F213" s="47"/>
      <c r="G213" s="90"/>
      <c r="H213" s="53"/>
      <c r="I213" s="91" t="s">
        <v>12</v>
      </c>
    </row>
    <row r="214" spans="1:14" ht="13.5" customHeight="1" x14ac:dyDescent="0.15">
      <c r="A214" s="16"/>
      <c r="C214" s="4" t="s">
        <v>197</v>
      </c>
      <c r="D214" s="4"/>
      <c r="E214" s="92"/>
      <c r="F214" s="93"/>
      <c r="G214" s="94"/>
      <c r="H214" s="95"/>
      <c r="I214" s="91" t="s">
        <v>12</v>
      </c>
    </row>
    <row r="215" spans="1:14" x14ac:dyDescent="0.15">
      <c r="C215" s="4"/>
      <c r="D215" s="4"/>
      <c r="E215" s="96"/>
      <c r="F215" s="97"/>
      <c r="G215" s="98"/>
      <c r="H215" s="99"/>
      <c r="I215" s="91"/>
    </row>
    <row r="216" spans="1:14" ht="13.5" customHeight="1" x14ac:dyDescent="0.15">
      <c r="C216" s="4" t="s">
        <v>198</v>
      </c>
      <c r="D216" s="4"/>
      <c r="E216" s="96"/>
      <c r="F216" s="97"/>
      <c r="G216" s="98"/>
      <c r="H216" s="99"/>
      <c r="I216" s="91" t="s">
        <v>12</v>
      </c>
    </row>
    <row r="217" spans="1:14" ht="13.5" customHeight="1" x14ac:dyDescent="0.15">
      <c r="C217" s="4" t="s">
        <v>199</v>
      </c>
      <c r="D217" s="4"/>
      <c r="E217" s="96"/>
      <c r="F217" s="97"/>
      <c r="G217" s="98"/>
      <c r="H217" s="99"/>
      <c r="I217" s="91" t="s">
        <v>200</v>
      </c>
    </row>
    <row r="218" spans="1:14" ht="13.5" customHeight="1" x14ac:dyDescent="0.15">
      <c r="C218" s="4" t="s">
        <v>201</v>
      </c>
      <c r="D218" s="4"/>
      <c r="E218" s="96"/>
      <c r="F218" s="97"/>
      <c r="G218" s="98"/>
      <c r="H218" s="99"/>
      <c r="I218" s="91" t="s">
        <v>10</v>
      </c>
    </row>
    <row r="219" spans="1:14" ht="13.5" customHeight="1" x14ac:dyDescent="0.15">
      <c r="C219" s="4" t="s">
        <v>202</v>
      </c>
      <c r="D219" s="4"/>
      <c r="E219" s="96"/>
      <c r="F219" s="97"/>
      <c r="G219" s="98"/>
      <c r="H219" s="99"/>
      <c r="I219" s="91" t="s">
        <v>12</v>
      </c>
    </row>
    <row r="220" spans="1:14" ht="13.5" customHeight="1" x14ac:dyDescent="0.15">
      <c r="C220" s="4" t="s">
        <v>203</v>
      </c>
      <c r="D220" s="4"/>
      <c r="E220" s="96"/>
      <c r="F220" s="97"/>
      <c r="G220" s="98"/>
      <c r="H220" s="99"/>
      <c r="I220" s="91" t="s">
        <v>12</v>
      </c>
    </row>
    <row r="221" spans="1:14" ht="12.75" customHeight="1" x14ac:dyDescent="0.15">
      <c r="C221" s="4" t="s">
        <v>204</v>
      </c>
      <c r="D221" s="4"/>
      <c r="E221" s="96"/>
      <c r="F221" s="97"/>
      <c r="G221" s="98"/>
      <c r="H221" s="99"/>
      <c r="I221" s="91"/>
    </row>
    <row r="222" spans="1:14" ht="13.5" customHeight="1" x14ac:dyDescent="0.15">
      <c r="C222" s="4" t="s">
        <v>205</v>
      </c>
      <c r="D222" s="4"/>
      <c r="E222" s="96"/>
      <c r="F222" s="97"/>
      <c r="G222" s="98"/>
      <c r="H222" s="99"/>
      <c r="I222" s="91" t="s">
        <v>12</v>
      </c>
    </row>
    <row r="223" spans="1:14" x14ac:dyDescent="0.15">
      <c r="C223" s="3" t="s">
        <v>206</v>
      </c>
      <c r="D223" s="3"/>
      <c r="E223" s="100"/>
      <c r="F223" s="93"/>
      <c r="G223" s="94"/>
      <c r="H223" s="95"/>
      <c r="I223" s="91"/>
    </row>
    <row r="224" spans="1:14" x14ac:dyDescent="0.15">
      <c r="C224" s="3" t="s">
        <v>207</v>
      </c>
      <c r="D224" s="3"/>
      <c r="E224" s="100"/>
      <c r="F224" s="89"/>
      <c r="G224" s="90"/>
      <c r="H224" s="101"/>
      <c r="I224" s="91"/>
    </row>
    <row r="225" spans="3:9" ht="14" x14ac:dyDescent="0.15">
      <c r="C225" s="3" t="s">
        <v>208</v>
      </c>
      <c r="D225" s="3"/>
      <c r="E225" s="100"/>
      <c r="F225" s="89"/>
      <c r="G225" s="90"/>
      <c r="H225" s="101"/>
      <c r="I225" s="91" t="s">
        <v>10</v>
      </c>
    </row>
    <row r="226" spans="3:9" ht="14" x14ac:dyDescent="0.15">
      <c r="C226" s="3" t="s">
        <v>209</v>
      </c>
      <c r="D226" s="3"/>
      <c r="E226" s="100"/>
      <c r="F226" s="89"/>
      <c r="G226" s="90"/>
      <c r="H226" s="101"/>
      <c r="I226" s="91" t="s">
        <v>10</v>
      </c>
    </row>
    <row r="227" spans="3:9" ht="14" x14ac:dyDescent="0.15">
      <c r="C227" s="3" t="s">
        <v>210</v>
      </c>
      <c r="D227" s="3"/>
      <c r="E227" s="100"/>
      <c r="F227" s="89"/>
      <c r="G227" s="90"/>
      <c r="H227" s="101"/>
      <c r="I227" s="91" t="s">
        <v>200</v>
      </c>
    </row>
    <row r="228" spans="3:9" ht="14" x14ac:dyDescent="0.15">
      <c r="C228" s="3" t="s">
        <v>211</v>
      </c>
      <c r="D228" s="3"/>
      <c r="E228" s="100"/>
      <c r="F228" s="89"/>
      <c r="G228" s="90"/>
      <c r="H228" s="101"/>
      <c r="I228" s="91" t="s">
        <v>12</v>
      </c>
    </row>
    <row r="229" spans="3:9" ht="14" x14ac:dyDescent="0.15">
      <c r="C229" s="3" t="s">
        <v>212</v>
      </c>
      <c r="D229" s="3"/>
      <c r="E229" s="100"/>
      <c r="F229" s="89"/>
      <c r="G229" s="90"/>
      <c r="H229" s="101"/>
      <c r="I229" s="91" t="s">
        <v>12</v>
      </c>
    </row>
    <row r="230" spans="3:9" ht="14" x14ac:dyDescent="0.15">
      <c r="C230" s="3" t="s">
        <v>213</v>
      </c>
      <c r="D230" s="3"/>
      <c r="E230" s="100"/>
      <c r="F230" s="89"/>
      <c r="G230" s="90"/>
      <c r="H230" s="101"/>
      <c r="I230" s="91" t="s">
        <v>12</v>
      </c>
    </row>
    <row r="231" spans="3:9" ht="14" x14ac:dyDescent="0.15">
      <c r="C231" s="3" t="s">
        <v>214</v>
      </c>
      <c r="D231" s="3"/>
      <c r="E231" s="100"/>
      <c r="F231" s="89"/>
      <c r="G231" s="90"/>
      <c r="H231" s="101"/>
      <c r="I231" s="91" t="s">
        <v>70</v>
      </c>
    </row>
    <row r="232" spans="3:9" ht="14" x14ac:dyDescent="0.15">
      <c r="C232" s="3" t="s">
        <v>215</v>
      </c>
      <c r="D232" s="3"/>
      <c r="E232" s="100"/>
      <c r="F232" s="89"/>
      <c r="G232" s="90"/>
      <c r="H232" s="101"/>
      <c r="I232" s="91" t="s">
        <v>70</v>
      </c>
    </row>
    <row r="233" spans="3:9" x14ac:dyDescent="0.15">
      <c r="C233" s="3" t="s">
        <v>216</v>
      </c>
      <c r="D233" s="3"/>
      <c r="E233" s="56"/>
      <c r="F233" s="57"/>
      <c r="G233" s="102"/>
      <c r="H233" s="103"/>
      <c r="I233" s="104" t="s">
        <v>12</v>
      </c>
    </row>
  </sheetData>
  <mergeCells count="46">
    <mergeCell ref="C232:D232"/>
    <mergeCell ref="C233:D233"/>
    <mergeCell ref="C227:D227"/>
    <mergeCell ref="C228:D228"/>
    <mergeCell ref="C229:D229"/>
    <mergeCell ref="C230:D230"/>
    <mergeCell ref="C231:D231"/>
    <mergeCell ref="C222:D222"/>
    <mergeCell ref="C223:D223"/>
    <mergeCell ref="C224:D224"/>
    <mergeCell ref="C225:D225"/>
    <mergeCell ref="C226:D226"/>
    <mergeCell ref="C217:D217"/>
    <mergeCell ref="C218:D218"/>
    <mergeCell ref="C219:D219"/>
    <mergeCell ref="C220:D220"/>
    <mergeCell ref="C221:D221"/>
    <mergeCell ref="C212:D212"/>
    <mergeCell ref="C213:D213"/>
    <mergeCell ref="C214:D214"/>
    <mergeCell ref="C215:D215"/>
    <mergeCell ref="C216:D216"/>
    <mergeCell ref="C141:D142"/>
    <mergeCell ref="E141:G141"/>
    <mergeCell ref="I141:I142"/>
    <mergeCell ref="C194:D195"/>
    <mergeCell ref="E194:G194"/>
    <mergeCell ref="I194:I195"/>
    <mergeCell ref="C98:D99"/>
    <mergeCell ref="E98:G98"/>
    <mergeCell ref="I98:I99"/>
    <mergeCell ref="C124:D125"/>
    <mergeCell ref="E124:G124"/>
    <mergeCell ref="I124:I125"/>
    <mergeCell ref="C60:D61"/>
    <mergeCell ref="E60:G60"/>
    <mergeCell ref="I60:I61"/>
    <mergeCell ref="C68:D69"/>
    <mergeCell ref="E68:G68"/>
    <mergeCell ref="I68:I69"/>
    <mergeCell ref="C5:D6"/>
    <mergeCell ref="E5:G5"/>
    <mergeCell ref="I5:I6"/>
    <mergeCell ref="C21:D22"/>
    <mergeCell ref="E21:G21"/>
    <mergeCell ref="I21:I22"/>
  </mergeCells>
  <printOptions horizontalCentered="1"/>
  <pageMargins left="0.25" right="0.25" top="0.5" bottom="0.6" header="0.25" footer="0.25"/>
  <pageSetup scale="90" orientation="portrait" horizontalDpi="300" verticalDpi="300"/>
  <headerFooter>
    <oddHeader>&amp;R&amp;D</oddHeader>
    <oddFooter>&amp;R&amp;P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490"/>
  <sheetViews>
    <sheetView showGridLines="0" zoomScale="150" zoomScaleNormal="150" workbookViewId="0">
      <selection activeCell="B1" sqref="B1"/>
    </sheetView>
  </sheetViews>
  <sheetFormatPr baseColWidth="10" defaultColWidth="9.1640625" defaultRowHeight="13" x14ac:dyDescent="0.15"/>
  <cols>
    <col min="1" max="1" width="1.83203125" style="15" customWidth="1"/>
    <col min="2" max="2" width="5" style="15" customWidth="1"/>
    <col min="3" max="3" width="15.83203125" style="15" customWidth="1"/>
    <col min="4" max="4" width="15.1640625" style="15" customWidth="1"/>
    <col min="5" max="5" width="10.5" style="105" customWidth="1"/>
    <col min="6" max="6" width="10.5" style="106" customWidth="1"/>
    <col min="7" max="7" width="8.33203125" style="107" customWidth="1"/>
    <col min="8" max="8" width="10.5" style="108" customWidth="1"/>
    <col min="9" max="9" width="15.1640625" style="109" customWidth="1"/>
    <col min="10" max="22" width="9.1640625" style="15"/>
    <col min="23" max="16384" width="9.1640625" style="110"/>
  </cols>
  <sheetData>
    <row r="1" spans="2:23" s="15" customFormat="1" ht="23" x14ac:dyDescent="0.25">
      <c r="B1" s="19" t="str">
        <f>FOOD!C1</f>
        <v>SW Grill</v>
      </c>
      <c r="E1" s="16"/>
      <c r="F1" s="18"/>
      <c r="G1" s="111"/>
      <c r="H1" s="20"/>
      <c r="I1" s="112"/>
      <c r="W1" s="110"/>
    </row>
    <row r="2" spans="2:23" s="15" customFormat="1" x14ac:dyDescent="0.15">
      <c r="B2" s="15" t="s">
        <v>217</v>
      </c>
      <c r="E2" s="16"/>
      <c r="F2" s="18"/>
      <c r="G2" s="111"/>
      <c r="H2" s="20" t="s">
        <v>1</v>
      </c>
      <c r="I2" s="112"/>
      <c r="W2" s="110"/>
    </row>
    <row r="3" spans="2:23" s="15" customFormat="1" x14ac:dyDescent="0.15">
      <c r="D3" s="113"/>
      <c r="F3" s="18"/>
      <c r="G3" s="111"/>
      <c r="H3" s="20"/>
      <c r="I3" s="112"/>
      <c r="W3" s="110"/>
    </row>
    <row r="4" spans="2:23" s="114" customFormat="1" x14ac:dyDescent="0.15">
      <c r="B4" s="23"/>
      <c r="G4" s="115"/>
      <c r="I4" s="116"/>
    </row>
    <row r="5" spans="2:23" s="15" customFormat="1" ht="12.75" customHeight="1" x14ac:dyDescent="0.15">
      <c r="B5" s="2" t="s">
        <v>2</v>
      </c>
      <c r="C5" s="2"/>
      <c r="D5" s="2"/>
      <c r="E5" s="13"/>
      <c r="F5" s="13"/>
      <c r="G5" s="13"/>
      <c r="H5" s="26"/>
      <c r="I5" s="12" t="s">
        <v>218</v>
      </c>
    </row>
    <row r="6" spans="2:23" s="15" customFormat="1" ht="15" customHeight="1" x14ac:dyDescent="0.15">
      <c r="B6" s="2"/>
      <c r="C6" s="2"/>
      <c r="D6" s="2"/>
      <c r="E6" s="27" t="s">
        <v>4</v>
      </c>
      <c r="F6" s="28" t="s">
        <v>5</v>
      </c>
      <c r="G6" s="29" t="s">
        <v>6</v>
      </c>
      <c r="H6" s="30" t="s">
        <v>7</v>
      </c>
      <c r="I6" s="12"/>
    </row>
    <row r="7" spans="2:23" s="15" customFormat="1" ht="23.25" customHeight="1" x14ac:dyDescent="0.2">
      <c r="B7" s="31" t="s">
        <v>219</v>
      </c>
      <c r="C7" s="31"/>
      <c r="D7" s="32"/>
      <c r="E7" s="33"/>
      <c r="F7" s="34"/>
      <c r="G7" s="35"/>
      <c r="H7" s="36"/>
      <c r="I7" s="37"/>
    </row>
    <row r="8" spans="2:23" x14ac:dyDescent="0.15">
      <c r="B8" s="1" t="s">
        <v>220</v>
      </c>
      <c r="C8" s="1"/>
      <c r="D8" s="1"/>
      <c r="E8" s="117" t="s">
        <v>221</v>
      </c>
      <c r="F8" s="118"/>
      <c r="G8" s="119"/>
      <c r="H8" s="117"/>
      <c r="I8" s="120"/>
    </row>
    <row r="9" spans="2:23" x14ac:dyDescent="0.15">
      <c r="B9" s="132" t="s">
        <v>222</v>
      </c>
      <c r="C9" s="132"/>
      <c r="D9" s="132"/>
      <c r="E9" s="117" t="s">
        <v>221</v>
      </c>
      <c r="F9" s="118"/>
      <c r="G9" s="119"/>
      <c r="H9" s="121"/>
      <c r="I9" s="120"/>
    </row>
    <row r="10" spans="2:23" x14ac:dyDescent="0.15">
      <c r="B10" s="132" t="s">
        <v>223</v>
      </c>
      <c r="C10" s="132"/>
      <c r="D10" s="132"/>
      <c r="E10" s="117" t="s">
        <v>221</v>
      </c>
      <c r="F10" s="118"/>
      <c r="G10" s="119"/>
      <c r="H10" s="121"/>
      <c r="I10" s="120"/>
    </row>
    <row r="11" spans="2:23" x14ac:dyDescent="0.15">
      <c r="B11" s="132" t="s">
        <v>224</v>
      </c>
      <c r="C11" s="132"/>
      <c r="D11" s="132"/>
      <c r="E11" s="117" t="s">
        <v>221</v>
      </c>
      <c r="F11" s="118"/>
      <c r="G11" s="119"/>
      <c r="H11" s="121"/>
      <c r="I11" s="120"/>
    </row>
    <row r="12" spans="2:23" x14ac:dyDescent="0.15">
      <c r="B12" s="132" t="s">
        <v>225</v>
      </c>
      <c r="C12" s="132"/>
      <c r="D12" s="132"/>
      <c r="E12" s="117" t="s">
        <v>221</v>
      </c>
      <c r="F12" s="118"/>
      <c r="G12" s="119"/>
      <c r="H12" s="121"/>
      <c r="I12" s="120"/>
    </row>
    <row r="13" spans="2:23" x14ac:dyDescent="0.15">
      <c r="B13" s="132" t="s">
        <v>226</v>
      </c>
      <c r="C13" s="132"/>
      <c r="D13" s="132"/>
      <c r="E13" s="117" t="s">
        <v>221</v>
      </c>
      <c r="F13" s="118"/>
      <c r="G13" s="119"/>
      <c r="H13" s="121"/>
      <c r="I13" s="120"/>
    </row>
    <row r="14" spans="2:23" x14ac:dyDescent="0.15">
      <c r="B14" s="132" t="s">
        <v>227</v>
      </c>
      <c r="C14" s="132"/>
      <c r="D14" s="132"/>
      <c r="E14" s="117" t="s">
        <v>221</v>
      </c>
      <c r="F14" s="118"/>
      <c r="G14" s="119"/>
      <c r="H14" s="121"/>
      <c r="I14" s="120"/>
    </row>
    <row r="15" spans="2:23" s="15" customFormat="1" x14ac:dyDescent="0.15">
      <c r="B15" s="132" t="s">
        <v>228</v>
      </c>
      <c r="C15" s="132"/>
      <c r="D15" s="132"/>
      <c r="E15" s="117" t="s">
        <v>221</v>
      </c>
      <c r="F15" s="118"/>
      <c r="G15" s="119"/>
      <c r="H15" s="122"/>
      <c r="I15" s="120"/>
    </row>
    <row r="16" spans="2:23" x14ac:dyDescent="0.15">
      <c r="B16" s="132" t="s">
        <v>229</v>
      </c>
      <c r="C16" s="132"/>
      <c r="D16" s="132"/>
      <c r="E16" s="117" t="s">
        <v>221</v>
      </c>
      <c r="F16" s="118"/>
      <c r="G16" s="119"/>
      <c r="H16" s="121"/>
      <c r="I16" s="120"/>
    </row>
    <row r="17" spans="2:9" x14ac:dyDescent="0.15">
      <c r="B17" s="132" t="s">
        <v>230</v>
      </c>
      <c r="C17" s="132"/>
      <c r="D17" s="132"/>
      <c r="E17" s="117" t="s">
        <v>221</v>
      </c>
      <c r="F17" s="118"/>
      <c r="G17" s="119"/>
      <c r="H17" s="121"/>
      <c r="I17" s="120"/>
    </row>
    <row r="18" spans="2:9" x14ac:dyDescent="0.15">
      <c r="B18" s="132" t="s">
        <v>231</v>
      </c>
      <c r="C18" s="132"/>
      <c r="D18" s="132"/>
      <c r="E18" s="117" t="s">
        <v>221</v>
      </c>
      <c r="F18" s="118"/>
      <c r="G18" s="119"/>
      <c r="H18" s="121"/>
      <c r="I18" s="120"/>
    </row>
    <row r="19" spans="2:9" x14ac:dyDescent="0.15">
      <c r="B19" s="132" t="s">
        <v>232</v>
      </c>
      <c r="C19" s="132"/>
      <c r="D19" s="132"/>
      <c r="E19" s="117" t="s">
        <v>221</v>
      </c>
      <c r="F19" s="118"/>
      <c r="G19" s="119"/>
      <c r="H19" s="121"/>
      <c r="I19" s="120"/>
    </row>
    <row r="20" spans="2:9" x14ac:dyDescent="0.15">
      <c r="B20" s="132" t="s">
        <v>233</v>
      </c>
      <c r="C20" s="132"/>
      <c r="D20" s="132"/>
      <c r="E20" s="117" t="s">
        <v>221</v>
      </c>
      <c r="F20" s="118"/>
      <c r="G20" s="119"/>
      <c r="H20" s="117"/>
      <c r="I20" s="120"/>
    </row>
    <row r="21" spans="2:9" x14ac:dyDescent="0.15">
      <c r="B21" s="132" t="s">
        <v>234</v>
      </c>
      <c r="C21" s="132"/>
      <c r="D21" s="132"/>
      <c r="E21" s="117" t="s">
        <v>221</v>
      </c>
      <c r="F21" s="118"/>
      <c r="G21" s="119"/>
      <c r="H21" s="121"/>
      <c r="I21" s="120"/>
    </row>
    <row r="22" spans="2:9" x14ac:dyDescent="0.15">
      <c r="B22" s="132"/>
      <c r="C22" s="132"/>
      <c r="D22" s="132"/>
      <c r="E22" s="117"/>
      <c r="F22" s="118"/>
      <c r="G22" s="119"/>
      <c r="H22" s="121"/>
      <c r="I22" s="120"/>
    </row>
    <row r="23" spans="2:9" x14ac:dyDescent="0.15">
      <c r="B23" s="133"/>
      <c r="C23" s="133"/>
      <c r="D23" s="133"/>
      <c r="E23" s="117"/>
      <c r="F23" s="118"/>
      <c r="G23" s="119"/>
      <c r="H23" s="121"/>
      <c r="I23" s="120"/>
    </row>
    <row r="24" spans="2:9" x14ac:dyDescent="0.15">
      <c r="B24" s="133"/>
      <c r="C24" s="133"/>
      <c r="D24" s="133"/>
      <c r="E24" s="117"/>
      <c r="F24" s="118"/>
      <c r="G24" s="119"/>
      <c r="H24" s="121"/>
      <c r="I24" s="120"/>
    </row>
    <row r="25" spans="2:9" x14ac:dyDescent="0.15">
      <c r="B25" s="133"/>
      <c r="C25" s="133"/>
      <c r="D25" s="133"/>
      <c r="E25" s="117"/>
      <c r="F25" s="118"/>
      <c r="G25" s="119"/>
      <c r="H25" s="121"/>
      <c r="I25" s="120"/>
    </row>
    <row r="26" spans="2:9" x14ac:dyDescent="0.15">
      <c r="B26" s="134"/>
      <c r="C26" s="134"/>
      <c r="D26" s="134"/>
      <c r="E26" s="117"/>
      <c r="F26" s="118"/>
      <c r="G26" s="119"/>
      <c r="H26" s="121"/>
      <c r="I26" s="120"/>
    </row>
    <row r="27" spans="2:9" ht="15" customHeight="1" x14ac:dyDescent="0.15">
      <c r="B27" s="11" t="s">
        <v>235</v>
      </c>
      <c r="C27" s="11"/>
      <c r="D27" s="11"/>
      <c r="E27" s="10"/>
      <c r="F27" s="10"/>
      <c r="G27" s="10"/>
      <c r="H27" s="55"/>
      <c r="I27" s="135" t="s">
        <v>218</v>
      </c>
    </row>
    <row r="28" spans="2:9" ht="15" customHeight="1" x14ac:dyDescent="0.15">
      <c r="B28" s="11"/>
      <c r="C28" s="11"/>
      <c r="D28" s="11"/>
      <c r="E28" s="58" t="s">
        <v>4</v>
      </c>
      <c r="F28" s="59" t="s">
        <v>5</v>
      </c>
      <c r="G28" s="60" t="s">
        <v>6</v>
      </c>
      <c r="H28" s="61"/>
      <c r="I28" s="135"/>
    </row>
    <row r="29" spans="2:9" x14ac:dyDescent="0.15">
      <c r="B29" s="136" t="s">
        <v>236</v>
      </c>
      <c r="C29" s="136"/>
      <c r="D29" s="136"/>
      <c r="E29" s="117" t="s">
        <v>221</v>
      </c>
      <c r="F29" s="118"/>
      <c r="G29" s="123"/>
      <c r="H29" s="121"/>
      <c r="I29" s="120"/>
    </row>
    <row r="30" spans="2:9" x14ac:dyDescent="0.15">
      <c r="B30" s="133" t="s">
        <v>237</v>
      </c>
      <c r="C30" s="133"/>
      <c r="D30" s="133"/>
      <c r="E30" s="117" t="s">
        <v>221</v>
      </c>
      <c r="F30" s="118"/>
      <c r="G30" s="123"/>
      <c r="H30" s="121"/>
      <c r="I30" s="120"/>
    </row>
    <row r="31" spans="2:9" x14ac:dyDescent="0.15">
      <c r="B31" s="133" t="s">
        <v>238</v>
      </c>
      <c r="C31" s="133"/>
      <c r="D31" s="133"/>
      <c r="E31" s="117" t="s">
        <v>221</v>
      </c>
      <c r="F31" s="118"/>
      <c r="G31" s="123"/>
      <c r="H31" s="121"/>
      <c r="I31" s="120"/>
    </row>
    <row r="32" spans="2:9" x14ac:dyDescent="0.15">
      <c r="B32" s="132" t="s">
        <v>239</v>
      </c>
      <c r="C32" s="132"/>
      <c r="D32" s="132"/>
      <c r="E32" s="117" t="s">
        <v>221</v>
      </c>
      <c r="F32" s="118"/>
      <c r="G32" s="123"/>
      <c r="H32" s="121"/>
      <c r="I32" s="120"/>
    </row>
    <row r="33" spans="2:9" x14ac:dyDescent="0.15">
      <c r="B33" s="132" t="s">
        <v>240</v>
      </c>
      <c r="C33" s="132"/>
      <c r="D33" s="132"/>
      <c r="E33" s="117" t="s">
        <v>221</v>
      </c>
      <c r="F33" s="118"/>
      <c r="G33" s="123"/>
      <c r="H33" s="121"/>
      <c r="I33" s="120"/>
    </row>
    <row r="34" spans="2:9" x14ac:dyDescent="0.15">
      <c r="B34" s="132" t="s">
        <v>241</v>
      </c>
      <c r="C34" s="132"/>
      <c r="D34" s="132"/>
      <c r="E34" s="117" t="s">
        <v>221</v>
      </c>
      <c r="F34" s="118"/>
      <c r="G34" s="123"/>
      <c r="H34" s="121"/>
      <c r="I34" s="120"/>
    </row>
    <row r="35" spans="2:9" x14ac:dyDescent="0.15">
      <c r="B35" s="132" t="s">
        <v>242</v>
      </c>
      <c r="C35" s="132"/>
      <c r="D35" s="132"/>
      <c r="E35" s="117" t="s">
        <v>221</v>
      </c>
      <c r="F35" s="118"/>
      <c r="G35" s="123"/>
      <c r="H35" s="121"/>
      <c r="I35" s="120"/>
    </row>
    <row r="36" spans="2:9" x14ac:dyDescent="0.15">
      <c r="B36" s="132" t="s">
        <v>243</v>
      </c>
      <c r="C36" s="132"/>
      <c r="D36" s="132"/>
      <c r="E36" s="117" t="s">
        <v>221</v>
      </c>
      <c r="F36" s="118"/>
      <c r="G36" s="123"/>
      <c r="H36" s="121"/>
      <c r="I36" s="120"/>
    </row>
    <row r="37" spans="2:9" x14ac:dyDescent="0.15">
      <c r="B37" s="132" t="s">
        <v>244</v>
      </c>
      <c r="C37" s="132"/>
      <c r="D37" s="132"/>
      <c r="E37" s="117" t="s">
        <v>221</v>
      </c>
      <c r="F37" s="118"/>
      <c r="G37" s="123"/>
      <c r="H37" s="121"/>
      <c r="I37" s="120"/>
    </row>
    <row r="38" spans="2:9" x14ac:dyDescent="0.15">
      <c r="B38" s="132" t="s">
        <v>245</v>
      </c>
      <c r="C38" s="132"/>
      <c r="D38" s="132"/>
      <c r="E38" s="117" t="s">
        <v>221</v>
      </c>
      <c r="F38" s="118"/>
      <c r="G38" s="123"/>
      <c r="H38" s="121"/>
      <c r="I38" s="120"/>
    </row>
    <row r="39" spans="2:9" x14ac:dyDescent="0.15">
      <c r="B39" s="132" t="s">
        <v>246</v>
      </c>
      <c r="C39" s="132"/>
      <c r="D39" s="132"/>
      <c r="E39" s="117" t="s">
        <v>221</v>
      </c>
      <c r="F39" s="118"/>
      <c r="G39" s="123"/>
      <c r="H39" s="121"/>
      <c r="I39" s="120"/>
    </row>
    <row r="40" spans="2:9" x14ac:dyDescent="0.15">
      <c r="B40" s="133"/>
      <c r="C40" s="133"/>
      <c r="D40" s="133"/>
      <c r="E40" s="117"/>
      <c r="F40" s="118"/>
      <c r="G40" s="123"/>
      <c r="H40" s="121"/>
      <c r="I40" s="120"/>
    </row>
    <row r="41" spans="2:9" x14ac:dyDescent="0.15">
      <c r="B41" s="133"/>
      <c r="C41" s="133"/>
      <c r="D41" s="133"/>
      <c r="E41" s="117"/>
      <c r="F41" s="118"/>
      <c r="G41" s="123"/>
      <c r="H41" s="121"/>
      <c r="I41" s="120"/>
    </row>
    <row r="42" spans="2:9" x14ac:dyDescent="0.15">
      <c r="B42" s="137"/>
      <c r="C42" s="137"/>
      <c r="D42" s="137"/>
      <c r="E42" s="117"/>
      <c r="F42" s="118"/>
      <c r="G42" s="123"/>
      <c r="H42" s="121"/>
      <c r="I42" s="120"/>
    </row>
    <row r="43" spans="2:9" ht="15" customHeight="1" x14ac:dyDescent="0.15">
      <c r="B43" s="11" t="s">
        <v>247</v>
      </c>
      <c r="C43" s="11"/>
      <c r="D43" s="11"/>
      <c r="E43" s="10"/>
      <c r="F43" s="10"/>
      <c r="G43" s="10"/>
      <c r="H43" s="55"/>
      <c r="I43" s="135" t="s">
        <v>218</v>
      </c>
    </row>
    <row r="44" spans="2:9" ht="15" customHeight="1" x14ac:dyDescent="0.15">
      <c r="B44" s="11"/>
      <c r="C44" s="11"/>
      <c r="D44" s="11"/>
      <c r="E44" s="58" t="s">
        <v>4</v>
      </c>
      <c r="F44" s="59" t="s">
        <v>5</v>
      </c>
      <c r="G44" s="60" t="s">
        <v>6</v>
      </c>
      <c r="H44" s="61"/>
      <c r="I44" s="135"/>
    </row>
    <row r="45" spans="2:9" x14ac:dyDescent="0.15">
      <c r="B45" s="136" t="s">
        <v>238</v>
      </c>
      <c r="C45" s="136"/>
      <c r="D45" s="136"/>
      <c r="E45" s="117" t="s">
        <v>248</v>
      </c>
      <c r="F45" s="118"/>
      <c r="G45" s="123"/>
      <c r="H45" s="121"/>
      <c r="I45" s="120"/>
    </row>
    <row r="46" spans="2:9" x14ac:dyDescent="0.15">
      <c r="B46" s="133" t="s">
        <v>249</v>
      </c>
      <c r="C46" s="133"/>
      <c r="D46" s="133"/>
      <c r="E46" s="117" t="s">
        <v>248</v>
      </c>
      <c r="F46" s="118"/>
      <c r="G46" s="123"/>
      <c r="H46" s="121"/>
      <c r="I46" s="120"/>
    </row>
    <row r="47" spans="2:9" x14ac:dyDescent="0.15">
      <c r="B47" s="137"/>
      <c r="C47" s="137"/>
      <c r="D47" s="137"/>
      <c r="E47" s="117"/>
      <c r="F47" s="118"/>
      <c r="G47" s="123"/>
      <c r="H47" s="121"/>
      <c r="I47" s="120"/>
    </row>
    <row r="48" spans="2:9" x14ac:dyDescent="0.15">
      <c r="B48" s="137"/>
      <c r="C48" s="137"/>
      <c r="D48" s="137"/>
      <c r="E48" s="117"/>
      <c r="F48" s="118"/>
      <c r="G48" s="123"/>
      <c r="H48" s="121"/>
      <c r="I48" s="120"/>
    </row>
    <row r="49" spans="2:9" ht="14.25" customHeight="1" x14ac:dyDescent="0.15">
      <c r="B49" s="11" t="s">
        <v>250</v>
      </c>
      <c r="C49" s="11"/>
      <c r="D49" s="11"/>
      <c r="E49" s="10"/>
      <c r="F49" s="10"/>
      <c r="G49" s="10"/>
      <c r="H49" s="55"/>
      <c r="I49" s="135" t="s">
        <v>218</v>
      </c>
    </row>
    <row r="50" spans="2:9" ht="15" customHeight="1" x14ac:dyDescent="0.15">
      <c r="B50" s="11"/>
      <c r="C50" s="11"/>
      <c r="D50" s="11"/>
      <c r="E50" s="58" t="s">
        <v>4</v>
      </c>
      <c r="F50" s="59" t="s">
        <v>5</v>
      </c>
      <c r="G50" s="60" t="s">
        <v>6</v>
      </c>
      <c r="H50" s="61"/>
      <c r="I50" s="135"/>
    </row>
    <row r="51" spans="2:9" x14ac:dyDescent="0.15">
      <c r="B51" s="136" t="s">
        <v>251</v>
      </c>
      <c r="C51" s="136"/>
      <c r="D51" s="136"/>
      <c r="E51" s="117" t="s">
        <v>221</v>
      </c>
      <c r="F51" s="118"/>
      <c r="G51" s="123"/>
      <c r="H51" s="121"/>
      <c r="I51" s="120"/>
    </row>
    <row r="52" spans="2:9" x14ac:dyDescent="0.15">
      <c r="B52" s="133" t="s">
        <v>252</v>
      </c>
      <c r="C52" s="133"/>
      <c r="D52" s="133"/>
      <c r="E52" s="117" t="s">
        <v>221</v>
      </c>
      <c r="F52" s="118"/>
      <c r="G52" s="123"/>
      <c r="H52" s="121"/>
      <c r="I52" s="120"/>
    </row>
    <row r="53" spans="2:9" x14ac:dyDescent="0.15">
      <c r="B53" s="133" t="s">
        <v>253</v>
      </c>
      <c r="C53" s="133"/>
      <c r="D53" s="133"/>
      <c r="E53" s="117" t="s">
        <v>221</v>
      </c>
      <c r="F53" s="118"/>
      <c r="G53" s="123"/>
      <c r="H53" s="121"/>
      <c r="I53" s="120"/>
    </row>
    <row r="54" spans="2:9" x14ac:dyDescent="0.15">
      <c r="B54" s="133" t="s">
        <v>254</v>
      </c>
      <c r="C54" s="133"/>
      <c r="D54" s="133"/>
      <c r="E54" s="117" t="s">
        <v>221</v>
      </c>
      <c r="F54" s="118"/>
      <c r="G54" s="123"/>
      <c r="H54" s="121"/>
      <c r="I54" s="120"/>
    </row>
    <row r="55" spans="2:9" x14ac:dyDescent="0.15">
      <c r="B55" s="133"/>
      <c r="C55" s="133"/>
      <c r="D55" s="133"/>
      <c r="E55" s="117"/>
      <c r="F55" s="118"/>
      <c r="G55" s="123"/>
      <c r="H55" s="121"/>
      <c r="I55" s="120"/>
    </row>
    <row r="56" spans="2:9" x14ac:dyDescent="0.15">
      <c r="B56" s="133"/>
      <c r="C56" s="133"/>
      <c r="D56" s="133"/>
      <c r="E56" s="117"/>
      <c r="F56" s="118"/>
      <c r="G56" s="123"/>
      <c r="H56" s="121"/>
      <c r="I56" s="120"/>
    </row>
    <row r="57" spans="2:9" ht="14.25" customHeight="1" x14ac:dyDescent="0.15">
      <c r="B57" s="11" t="s">
        <v>255</v>
      </c>
      <c r="C57" s="11"/>
      <c r="D57" s="11"/>
      <c r="E57" s="10"/>
      <c r="F57" s="10"/>
      <c r="G57" s="10"/>
      <c r="H57" s="55"/>
      <c r="I57" s="135" t="s">
        <v>218</v>
      </c>
    </row>
    <row r="58" spans="2:9" ht="15" customHeight="1" x14ac:dyDescent="0.15">
      <c r="B58" s="11"/>
      <c r="C58" s="11"/>
      <c r="D58" s="11"/>
      <c r="E58" s="58" t="s">
        <v>4</v>
      </c>
      <c r="F58" s="59" t="s">
        <v>5</v>
      </c>
      <c r="G58" s="60" t="s">
        <v>6</v>
      </c>
      <c r="H58" s="61"/>
      <c r="I58" s="135"/>
    </row>
    <row r="59" spans="2:9" x14ac:dyDescent="0.15">
      <c r="B59" s="1" t="s">
        <v>201</v>
      </c>
      <c r="C59" s="1"/>
      <c r="D59" s="1"/>
      <c r="E59" s="117" t="s">
        <v>221</v>
      </c>
      <c r="F59" s="118"/>
      <c r="G59" s="123"/>
      <c r="H59" s="121"/>
      <c r="I59" s="120"/>
    </row>
    <row r="60" spans="2:9" x14ac:dyDescent="0.15">
      <c r="B60" s="132" t="s">
        <v>209</v>
      </c>
      <c r="C60" s="132"/>
      <c r="D60" s="132"/>
      <c r="E60" s="117"/>
      <c r="F60" s="118"/>
      <c r="G60" s="123"/>
      <c r="H60" s="121"/>
      <c r="I60" s="120"/>
    </row>
    <row r="61" spans="2:9" x14ac:dyDescent="0.15">
      <c r="B61" s="124" t="s">
        <v>208</v>
      </c>
      <c r="C61" s="125"/>
      <c r="D61" s="126"/>
      <c r="E61" s="117"/>
      <c r="F61" s="118"/>
      <c r="G61" s="123"/>
      <c r="H61" s="121"/>
      <c r="I61" s="120"/>
    </row>
    <row r="62" spans="2:9" x14ac:dyDescent="0.15">
      <c r="B62" s="138" t="s">
        <v>256</v>
      </c>
      <c r="C62" s="138"/>
      <c r="D62" s="138"/>
      <c r="E62" s="117" t="s">
        <v>221</v>
      </c>
      <c r="F62" s="118"/>
      <c r="G62" s="123"/>
      <c r="H62" s="121"/>
      <c r="I62" s="120"/>
    </row>
    <row r="63" spans="2:9" x14ac:dyDescent="0.15">
      <c r="B63" s="124" t="s">
        <v>257</v>
      </c>
      <c r="C63" s="125"/>
      <c r="D63" s="126"/>
      <c r="E63" s="117" t="s">
        <v>221</v>
      </c>
      <c r="F63" s="118"/>
      <c r="G63" s="123"/>
      <c r="H63" s="121"/>
      <c r="I63" s="120"/>
    </row>
    <row r="64" spans="2:9" x14ac:dyDescent="0.15">
      <c r="B64" s="124" t="s">
        <v>258</v>
      </c>
      <c r="C64" s="125"/>
      <c r="D64" s="126"/>
      <c r="E64" s="117" t="s">
        <v>221</v>
      </c>
      <c r="F64" s="118"/>
      <c r="G64" s="123"/>
      <c r="H64" s="121"/>
      <c r="I64" s="120"/>
    </row>
    <row r="65" spans="2:9" x14ac:dyDescent="0.15">
      <c r="B65" s="124" t="s">
        <v>259</v>
      </c>
      <c r="C65" s="125"/>
      <c r="D65" s="126"/>
      <c r="E65" s="117" t="s">
        <v>221</v>
      </c>
      <c r="F65" s="118"/>
      <c r="G65" s="123"/>
      <c r="H65" s="121"/>
      <c r="I65" s="120"/>
    </row>
    <row r="66" spans="2:9" x14ac:dyDescent="0.15">
      <c r="B66" s="124" t="s">
        <v>260</v>
      </c>
      <c r="C66" s="125"/>
      <c r="D66" s="126"/>
      <c r="E66" s="117" t="s">
        <v>221</v>
      </c>
      <c r="F66" s="118"/>
      <c r="G66" s="123"/>
      <c r="H66" s="121"/>
      <c r="I66" s="120"/>
    </row>
    <row r="67" spans="2:9" x14ac:dyDescent="0.15">
      <c r="B67" s="124" t="s">
        <v>261</v>
      </c>
      <c r="C67" s="125"/>
      <c r="D67" s="126"/>
      <c r="E67" s="117" t="s">
        <v>221</v>
      </c>
      <c r="F67" s="118"/>
      <c r="G67" s="123"/>
      <c r="H67" s="121"/>
      <c r="I67" s="120"/>
    </row>
    <row r="68" spans="2:9" x14ac:dyDescent="0.15">
      <c r="B68" s="124" t="s">
        <v>262</v>
      </c>
      <c r="C68" s="125"/>
      <c r="D68" s="126"/>
      <c r="E68" s="117" t="s">
        <v>221</v>
      </c>
      <c r="F68" s="118"/>
      <c r="G68" s="123"/>
      <c r="H68" s="121"/>
      <c r="I68" s="120"/>
    </row>
    <row r="69" spans="2:9" x14ac:dyDescent="0.15">
      <c r="B69" s="124" t="s">
        <v>263</v>
      </c>
      <c r="C69" s="125"/>
      <c r="D69" s="126"/>
      <c r="E69" s="117" t="s">
        <v>221</v>
      </c>
      <c r="F69" s="118"/>
      <c r="G69" s="123"/>
      <c r="H69" s="121"/>
      <c r="I69" s="120"/>
    </row>
    <row r="70" spans="2:9" x14ac:dyDescent="0.15">
      <c r="B70" s="124" t="s">
        <v>264</v>
      </c>
      <c r="C70" s="125"/>
      <c r="D70" s="126"/>
      <c r="E70" s="117" t="s">
        <v>221</v>
      </c>
      <c r="F70" s="118"/>
      <c r="G70" s="123"/>
      <c r="H70" s="121"/>
      <c r="I70" s="120"/>
    </row>
    <row r="71" spans="2:9" x14ac:dyDescent="0.15">
      <c r="B71" s="124" t="s">
        <v>265</v>
      </c>
      <c r="C71" s="125"/>
      <c r="D71" s="126"/>
      <c r="E71" s="117" t="s">
        <v>221</v>
      </c>
      <c r="F71" s="118"/>
      <c r="G71" s="123"/>
      <c r="H71" s="121"/>
      <c r="I71" s="120"/>
    </row>
    <row r="72" spans="2:9" x14ac:dyDescent="0.15">
      <c r="B72" s="138" t="s">
        <v>266</v>
      </c>
      <c r="C72" s="138"/>
      <c r="D72" s="138"/>
      <c r="E72" s="117" t="s">
        <v>221</v>
      </c>
      <c r="F72" s="118"/>
      <c r="G72" s="123"/>
      <c r="H72" s="121"/>
      <c r="I72" s="120"/>
    </row>
    <row r="73" spans="2:9" x14ac:dyDescent="0.15">
      <c r="B73" s="138" t="s">
        <v>267</v>
      </c>
      <c r="C73" s="138"/>
      <c r="D73" s="138"/>
      <c r="E73" s="117" t="s">
        <v>221</v>
      </c>
      <c r="F73" s="118"/>
      <c r="G73" s="123"/>
      <c r="H73" s="121"/>
      <c r="I73" s="120"/>
    </row>
    <row r="74" spans="2:9" x14ac:dyDescent="0.15">
      <c r="B74" s="138" t="s">
        <v>268</v>
      </c>
      <c r="C74" s="138"/>
      <c r="D74" s="138"/>
      <c r="E74" s="117" t="s">
        <v>221</v>
      </c>
      <c r="F74" s="118"/>
      <c r="G74" s="123"/>
      <c r="H74" s="121"/>
      <c r="I74" s="120"/>
    </row>
    <row r="75" spans="2:9" x14ac:dyDescent="0.15">
      <c r="B75" s="138" t="s">
        <v>269</v>
      </c>
      <c r="C75" s="138"/>
      <c r="D75" s="138"/>
      <c r="E75" s="117" t="s">
        <v>221</v>
      </c>
      <c r="F75" s="118"/>
      <c r="G75" s="123"/>
      <c r="H75" s="121"/>
      <c r="I75" s="120"/>
    </row>
    <row r="76" spans="2:9" x14ac:dyDescent="0.15">
      <c r="B76" s="138" t="s">
        <v>270</v>
      </c>
      <c r="C76" s="138"/>
      <c r="D76" s="138"/>
      <c r="E76" s="117" t="s">
        <v>221</v>
      </c>
      <c r="F76" s="118"/>
      <c r="G76" s="123"/>
      <c r="H76" s="121"/>
      <c r="I76" s="120"/>
    </row>
    <row r="77" spans="2:9" x14ac:dyDescent="0.15">
      <c r="B77" s="138" t="s">
        <v>271</v>
      </c>
      <c r="C77" s="138"/>
      <c r="D77" s="138"/>
      <c r="E77" s="117" t="s">
        <v>221</v>
      </c>
      <c r="F77" s="118"/>
      <c r="G77" s="123"/>
      <c r="H77" s="121"/>
      <c r="I77" s="120"/>
    </row>
    <row r="78" spans="2:9" x14ac:dyDescent="0.15">
      <c r="B78" s="138" t="s">
        <v>272</v>
      </c>
      <c r="C78" s="138"/>
      <c r="D78" s="138"/>
      <c r="E78" s="117" t="s">
        <v>273</v>
      </c>
      <c r="F78" s="118"/>
      <c r="G78" s="123"/>
      <c r="H78" s="121"/>
      <c r="I78" s="120"/>
    </row>
    <row r="79" spans="2:9" x14ac:dyDescent="0.15">
      <c r="B79" s="124" t="s">
        <v>274</v>
      </c>
      <c r="C79" s="125"/>
      <c r="D79" s="126"/>
      <c r="E79" s="117" t="s">
        <v>273</v>
      </c>
      <c r="F79" s="118"/>
      <c r="G79" s="123"/>
      <c r="H79" s="121"/>
      <c r="I79" s="120"/>
    </row>
    <row r="80" spans="2:9" x14ac:dyDescent="0.15">
      <c r="B80" s="124" t="s">
        <v>275</v>
      </c>
      <c r="C80" s="125"/>
      <c r="D80" s="126"/>
      <c r="E80" s="117" t="s">
        <v>273</v>
      </c>
      <c r="F80" s="118"/>
      <c r="G80" s="123"/>
      <c r="H80" s="121"/>
      <c r="I80" s="120"/>
    </row>
    <row r="81" spans="2:9" x14ac:dyDescent="0.15">
      <c r="B81" s="124" t="s">
        <v>276</v>
      </c>
      <c r="C81" s="125"/>
      <c r="D81" s="126"/>
      <c r="E81" s="117" t="s">
        <v>273</v>
      </c>
      <c r="F81" s="118"/>
      <c r="G81" s="123"/>
      <c r="H81" s="121"/>
      <c r="I81" s="120"/>
    </row>
    <row r="82" spans="2:9" x14ac:dyDescent="0.15">
      <c r="B82" s="124" t="s">
        <v>277</v>
      </c>
      <c r="C82" s="125"/>
      <c r="D82" s="126"/>
      <c r="E82" s="117" t="s">
        <v>273</v>
      </c>
      <c r="F82" s="118"/>
      <c r="G82" s="123"/>
      <c r="H82" s="121"/>
      <c r="I82" s="120"/>
    </row>
    <row r="83" spans="2:9" x14ac:dyDescent="0.15">
      <c r="B83" s="124" t="s">
        <v>278</v>
      </c>
      <c r="C83" s="125"/>
      <c r="D83" s="126"/>
      <c r="E83" s="117" t="s">
        <v>273</v>
      </c>
      <c r="F83" s="118"/>
      <c r="G83" s="123"/>
      <c r="H83" s="121"/>
      <c r="I83" s="120"/>
    </row>
    <row r="84" spans="2:9" x14ac:dyDescent="0.15">
      <c r="B84" s="124" t="s">
        <v>279</v>
      </c>
      <c r="C84" s="125"/>
      <c r="D84" s="126"/>
      <c r="E84" s="117"/>
      <c r="F84" s="118"/>
      <c r="G84" s="123"/>
      <c r="H84" s="121"/>
      <c r="I84" s="120"/>
    </row>
    <row r="85" spans="2:9" x14ac:dyDescent="0.15">
      <c r="B85" s="124" t="s">
        <v>280</v>
      </c>
      <c r="C85" s="125"/>
      <c r="D85" s="126"/>
      <c r="E85" s="117"/>
      <c r="F85" s="118"/>
      <c r="G85" s="123"/>
      <c r="H85" s="121"/>
      <c r="I85" s="120"/>
    </row>
    <row r="86" spans="2:9" x14ac:dyDescent="0.15">
      <c r="B86" s="124" t="s">
        <v>281</v>
      </c>
      <c r="C86" s="125"/>
      <c r="D86" s="126"/>
      <c r="E86" s="117"/>
      <c r="F86" s="118"/>
      <c r="G86" s="123"/>
      <c r="H86" s="121"/>
      <c r="I86" s="120"/>
    </row>
    <row r="87" spans="2:9" x14ac:dyDescent="0.15">
      <c r="B87" s="124" t="s">
        <v>282</v>
      </c>
      <c r="C87" s="125"/>
      <c r="D87" s="126"/>
      <c r="E87" s="117"/>
      <c r="F87" s="118"/>
      <c r="G87" s="123"/>
      <c r="H87" s="121"/>
      <c r="I87" s="120"/>
    </row>
    <row r="88" spans="2:9" x14ac:dyDescent="0.15">
      <c r="B88" s="124" t="s">
        <v>283</v>
      </c>
      <c r="C88" s="125"/>
      <c r="D88" s="126"/>
      <c r="E88" s="117"/>
      <c r="F88" s="118"/>
      <c r="G88" s="123"/>
      <c r="H88" s="121"/>
      <c r="I88" s="120"/>
    </row>
    <row r="89" spans="2:9" x14ac:dyDescent="0.15">
      <c r="B89" s="124" t="s">
        <v>284</v>
      </c>
      <c r="C89" s="125"/>
      <c r="D89" s="126"/>
      <c r="E89" s="117"/>
      <c r="F89" s="118"/>
      <c r="G89" s="123"/>
      <c r="H89" s="121"/>
      <c r="I89" s="120"/>
    </row>
    <row r="90" spans="2:9" x14ac:dyDescent="0.15">
      <c r="B90" s="124" t="s">
        <v>212</v>
      </c>
      <c r="C90" s="125"/>
      <c r="D90" s="126"/>
      <c r="E90" s="117" t="s">
        <v>221</v>
      </c>
      <c r="F90" s="118"/>
      <c r="G90" s="123"/>
      <c r="H90" s="121"/>
      <c r="I90" s="120"/>
    </row>
    <row r="91" spans="2:9" x14ac:dyDescent="0.15">
      <c r="B91" s="124"/>
      <c r="C91" s="125"/>
      <c r="D91" s="126"/>
      <c r="E91" s="117"/>
      <c r="F91" s="118"/>
      <c r="G91" s="123"/>
      <c r="H91" s="121"/>
      <c r="I91" s="120"/>
    </row>
    <row r="92" spans="2:9" x14ac:dyDescent="0.15">
      <c r="B92" s="133"/>
      <c r="C92" s="133"/>
      <c r="D92" s="133"/>
      <c r="E92" s="117"/>
      <c r="F92" s="118"/>
      <c r="G92" s="123"/>
      <c r="H92" s="121"/>
      <c r="I92" s="120"/>
    </row>
    <row r="93" spans="2:9" x14ac:dyDescent="0.15">
      <c r="B93" s="133"/>
      <c r="C93" s="133"/>
      <c r="D93" s="133"/>
      <c r="E93" s="117"/>
      <c r="F93" s="118"/>
      <c r="G93" s="123"/>
      <c r="H93" s="121"/>
      <c r="I93" s="120"/>
    </row>
    <row r="94" spans="2:9" x14ac:dyDescent="0.15">
      <c r="E94" s="16"/>
      <c r="F94" s="18"/>
      <c r="G94" s="111"/>
      <c r="H94" s="20"/>
      <c r="I94" s="112"/>
    </row>
    <row r="95" spans="2:9" x14ac:dyDescent="0.15">
      <c r="D95" s="110"/>
      <c r="E95" s="127"/>
      <c r="F95" s="128"/>
      <c r="G95" s="129"/>
      <c r="H95" s="128"/>
      <c r="I95" s="128"/>
    </row>
    <row r="96" spans="2:9" x14ac:dyDescent="0.15">
      <c r="D96" s="110"/>
      <c r="E96" s="110"/>
      <c r="F96" s="110"/>
      <c r="H96" s="130"/>
    </row>
    <row r="97" spans="2:9" x14ac:dyDescent="0.15">
      <c r="D97" s="110"/>
      <c r="E97" s="110"/>
      <c r="F97" s="110"/>
      <c r="H97" s="130"/>
    </row>
    <row r="98" spans="2:9" x14ac:dyDescent="0.15">
      <c r="D98" s="110"/>
      <c r="E98" s="110"/>
      <c r="F98" s="110"/>
      <c r="H98" s="130"/>
    </row>
    <row r="99" spans="2:9" x14ac:dyDescent="0.15">
      <c r="D99" s="110"/>
      <c r="E99" s="110"/>
      <c r="F99" s="110"/>
      <c r="H99" s="130"/>
    </row>
    <row r="100" spans="2:9" x14ac:dyDescent="0.15">
      <c r="D100" s="110"/>
      <c r="E100" s="127"/>
      <c r="F100" s="128"/>
      <c r="G100" s="131"/>
      <c r="H100" s="129"/>
    </row>
    <row r="101" spans="2:9" x14ac:dyDescent="0.15">
      <c r="D101" s="110"/>
      <c r="H101" s="130"/>
    </row>
    <row r="102" spans="2:9" x14ac:dyDescent="0.15">
      <c r="B102" s="15" t="s">
        <v>1</v>
      </c>
      <c r="D102" s="110"/>
      <c r="E102" s="127"/>
      <c r="F102" s="128"/>
      <c r="G102" s="131"/>
      <c r="H102" s="129"/>
    </row>
    <row r="103" spans="2:9" x14ac:dyDescent="0.15">
      <c r="E103" s="16"/>
      <c r="F103" s="18"/>
      <c r="G103" s="111"/>
      <c r="H103" s="20"/>
      <c r="I103" s="112"/>
    </row>
    <row r="104" spans="2:9" x14ac:dyDescent="0.15">
      <c r="E104" s="16"/>
      <c r="F104" s="18"/>
      <c r="G104" s="111"/>
      <c r="H104" s="20"/>
      <c r="I104" s="112"/>
    </row>
    <row r="105" spans="2:9" x14ac:dyDescent="0.15">
      <c r="E105" s="16"/>
      <c r="F105" s="18"/>
      <c r="G105" s="111"/>
      <c r="H105" s="20"/>
      <c r="I105" s="112"/>
    </row>
    <row r="106" spans="2:9" x14ac:dyDescent="0.15">
      <c r="E106" s="16"/>
      <c r="F106" s="18"/>
      <c r="G106" s="111"/>
      <c r="H106" s="20"/>
      <c r="I106" s="112"/>
    </row>
    <row r="107" spans="2:9" x14ac:dyDescent="0.15">
      <c r="E107" s="16"/>
      <c r="F107" s="18"/>
      <c r="G107" s="111"/>
      <c r="H107" s="20"/>
      <c r="I107" s="112"/>
    </row>
    <row r="108" spans="2:9" x14ac:dyDescent="0.15">
      <c r="E108" s="16"/>
      <c r="F108" s="18"/>
      <c r="G108" s="111"/>
      <c r="H108" s="20"/>
      <c r="I108" s="112"/>
    </row>
    <row r="109" spans="2:9" x14ac:dyDescent="0.15">
      <c r="E109" s="16"/>
      <c r="F109" s="18"/>
      <c r="G109" s="111"/>
      <c r="H109" s="20"/>
      <c r="I109" s="112"/>
    </row>
    <row r="110" spans="2:9" x14ac:dyDescent="0.15">
      <c r="E110" s="16"/>
      <c r="F110" s="18"/>
      <c r="G110" s="111"/>
      <c r="H110" s="20"/>
      <c r="I110" s="112"/>
    </row>
    <row r="111" spans="2:9" x14ac:dyDescent="0.15">
      <c r="E111" s="16"/>
      <c r="F111" s="18"/>
      <c r="G111" s="111"/>
      <c r="H111" s="20"/>
      <c r="I111" s="112"/>
    </row>
    <row r="112" spans="2:9" x14ac:dyDescent="0.15">
      <c r="E112" s="16"/>
      <c r="F112" s="18"/>
      <c r="G112" s="111"/>
      <c r="H112" s="20"/>
      <c r="I112" s="112"/>
    </row>
    <row r="113" spans="5:9" x14ac:dyDescent="0.15">
      <c r="E113" s="16"/>
      <c r="F113" s="18"/>
      <c r="G113" s="111"/>
      <c r="H113" s="20"/>
      <c r="I113" s="112"/>
    </row>
    <row r="114" spans="5:9" x14ac:dyDescent="0.15">
      <c r="E114" s="16"/>
      <c r="F114" s="18"/>
      <c r="G114" s="111"/>
      <c r="H114" s="20"/>
      <c r="I114" s="112"/>
    </row>
    <row r="115" spans="5:9" x14ac:dyDescent="0.15">
      <c r="E115" s="16"/>
      <c r="F115" s="18"/>
      <c r="G115" s="111"/>
      <c r="H115" s="20"/>
      <c r="I115" s="112"/>
    </row>
    <row r="116" spans="5:9" x14ac:dyDescent="0.15">
      <c r="E116" s="16"/>
      <c r="F116" s="18"/>
      <c r="G116" s="111"/>
      <c r="H116" s="20"/>
      <c r="I116" s="112"/>
    </row>
    <row r="117" spans="5:9" x14ac:dyDescent="0.15">
      <c r="E117" s="16"/>
      <c r="F117" s="18"/>
      <c r="G117" s="111"/>
      <c r="H117" s="20"/>
      <c r="I117" s="112"/>
    </row>
    <row r="118" spans="5:9" x14ac:dyDescent="0.15">
      <c r="E118" s="16"/>
      <c r="F118" s="18"/>
      <c r="G118" s="111"/>
      <c r="H118" s="20"/>
      <c r="I118" s="112"/>
    </row>
    <row r="119" spans="5:9" x14ac:dyDescent="0.15">
      <c r="E119" s="16"/>
      <c r="F119" s="18"/>
      <c r="G119" s="111"/>
      <c r="H119" s="20"/>
      <c r="I119" s="112"/>
    </row>
    <row r="120" spans="5:9" x14ac:dyDescent="0.15">
      <c r="E120" s="16"/>
      <c r="F120" s="18"/>
      <c r="G120" s="111"/>
      <c r="H120" s="20"/>
      <c r="I120" s="112"/>
    </row>
    <row r="121" spans="5:9" x14ac:dyDescent="0.15">
      <c r="E121" s="16"/>
      <c r="F121" s="18"/>
      <c r="G121" s="111"/>
      <c r="H121" s="20"/>
      <c r="I121" s="112"/>
    </row>
    <row r="122" spans="5:9" x14ac:dyDescent="0.15">
      <c r="E122" s="16"/>
      <c r="F122" s="18"/>
      <c r="G122" s="111"/>
      <c r="H122" s="20"/>
      <c r="I122" s="112"/>
    </row>
    <row r="123" spans="5:9" x14ac:dyDescent="0.15">
      <c r="E123" s="16"/>
      <c r="F123" s="18"/>
      <c r="G123" s="111"/>
      <c r="H123" s="20"/>
      <c r="I123" s="112"/>
    </row>
    <row r="124" spans="5:9" x14ac:dyDescent="0.15">
      <c r="E124" s="16"/>
      <c r="F124" s="18"/>
      <c r="G124" s="111"/>
      <c r="H124" s="20"/>
      <c r="I124" s="112"/>
    </row>
    <row r="125" spans="5:9" x14ac:dyDescent="0.15">
      <c r="E125" s="16"/>
      <c r="F125" s="18"/>
      <c r="G125" s="111"/>
      <c r="H125" s="20"/>
      <c r="I125" s="112"/>
    </row>
    <row r="126" spans="5:9" x14ac:dyDescent="0.15">
      <c r="E126" s="16"/>
      <c r="F126" s="18"/>
      <c r="G126" s="111"/>
      <c r="H126" s="20"/>
      <c r="I126" s="112"/>
    </row>
    <row r="127" spans="5:9" x14ac:dyDescent="0.15">
      <c r="E127" s="16"/>
      <c r="F127" s="18"/>
      <c r="G127" s="111"/>
      <c r="H127" s="20"/>
      <c r="I127" s="112"/>
    </row>
    <row r="128" spans="5:9" x14ac:dyDescent="0.15">
      <c r="E128" s="16"/>
      <c r="F128" s="18"/>
      <c r="G128" s="111"/>
      <c r="H128" s="20"/>
      <c r="I128" s="112"/>
    </row>
    <row r="129" spans="5:23" x14ac:dyDescent="0.15">
      <c r="E129" s="16"/>
      <c r="F129" s="18"/>
      <c r="G129" s="111"/>
      <c r="H129" s="20"/>
      <c r="I129" s="112"/>
    </row>
    <row r="130" spans="5:23" x14ac:dyDescent="0.15">
      <c r="E130" s="16"/>
      <c r="F130" s="18"/>
      <c r="G130" s="111"/>
      <c r="H130" s="20"/>
      <c r="I130" s="112"/>
    </row>
    <row r="131" spans="5:23" x14ac:dyDescent="0.15">
      <c r="E131" s="16"/>
      <c r="F131" s="18"/>
      <c r="G131" s="111"/>
      <c r="H131" s="20"/>
      <c r="I131" s="112"/>
    </row>
    <row r="132" spans="5:23" x14ac:dyDescent="0.15">
      <c r="E132" s="16"/>
      <c r="F132" s="18"/>
      <c r="G132" s="111"/>
      <c r="H132" s="20"/>
      <c r="I132" s="112"/>
    </row>
    <row r="133" spans="5:23" x14ac:dyDescent="0.15">
      <c r="E133" s="16"/>
      <c r="F133" s="18"/>
      <c r="G133" s="111"/>
      <c r="H133" s="20"/>
      <c r="I133" s="112"/>
    </row>
    <row r="134" spans="5:23" x14ac:dyDescent="0.15">
      <c r="E134" s="16"/>
      <c r="F134" s="18"/>
      <c r="G134" s="111"/>
      <c r="H134" s="20"/>
      <c r="I134" s="112"/>
    </row>
    <row r="135" spans="5:23" x14ac:dyDescent="0.15">
      <c r="E135" s="16"/>
      <c r="F135" s="18"/>
      <c r="G135" s="111"/>
      <c r="H135" s="20"/>
      <c r="I135" s="112"/>
    </row>
    <row r="136" spans="5:23" x14ac:dyDescent="0.15">
      <c r="E136" s="16"/>
      <c r="F136" s="18"/>
      <c r="G136" s="111"/>
      <c r="H136" s="20"/>
      <c r="I136" s="112"/>
    </row>
    <row r="137" spans="5:23" x14ac:dyDescent="0.15">
      <c r="E137" s="16"/>
      <c r="F137" s="18"/>
      <c r="G137" s="111"/>
      <c r="H137" s="20"/>
      <c r="I137" s="112"/>
    </row>
    <row r="138" spans="5:23" x14ac:dyDescent="0.15">
      <c r="E138" s="16"/>
      <c r="F138" s="18"/>
      <c r="G138" s="111"/>
      <c r="H138" s="20"/>
      <c r="I138" s="112"/>
    </row>
    <row r="139" spans="5:23" x14ac:dyDescent="0.15">
      <c r="E139" s="16"/>
      <c r="F139" s="18"/>
      <c r="G139" s="111"/>
      <c r="H139" s="20"/>
      <c r="I139" s="112"/>
    </row>
    <row r="140" spans="5:23" x14ac:dyDescent="0.15">
      <c r="E140" s="16"/>
      <c r="F140" s="18"/>
      <c r="G140" s="111"/>
      <c r="H140" s="20"/>
      <c r="I140" s="112"/>
    </row>
    <row r="141" spans="5:23" x14ac:dyDescent="0.15">
      <c r="E141" s="16"/>
      <c r="F141" s="18"/>
      <c r="G141" s="111"/>
      <c r="H141" s="20"/>
      <c r="I141" s="112"/>
    </row>
    <row r="142" spans="5:23" x14ac:dyDescent="0.15">
      <c r="E142" s="16"/>
      <c r="F142" s="18"/>
      <c r="G142" s="111"/>
      <c r="H142" s="20"/>
      <c r="I142" s="112"/>
    </row>
    <row r="143" spans="5:23" x14ac:dyDescent="0.15">
      <c r="E143" s="16"/>
      <c r="F143" s="18"/>
      <c r="G143" s="111"/>
      <c r="H143" s="20"/>
      <c r="I143" s="112"/>
    </row>
    <row r="144" spans="5:23" s="15" customFormat="1" x14ac:dyDescent="0.15">
      <c r="E144" s="16"/>
      <c r="F144" s="18"/>
      <c r="G144" s="111"/>
      <c r="H144" s="20"/>
      <c r="I144" s="112"/>
      <c r="W144" s="110"/>
    </row>
    <row r="145" spans="5:23" s="15" customFormat="1" x14ac:dyDescent="0.15">
      <c r="E145" s="16"/>
      <c r="F145" s="18"/>
      <c r="G145" s="111"/>
      <c r="H145" s="20"/>
      <c r="I145" s="112"/>
      <c r="W145" s="110"/>
    </row>
    <row r="146" spans="5:23" s="15" customFormat="1" x14ac:dyDescent="0.15">
      <c r="E146" s="16"/>
      <c r="F146" s="18"/>
      <c r="G146" s="111"/>
      <c r="H146" s="20"/>
      <c r="I146" s="112"/>
      <c r="W146" s="110"/>
    </row>
    <row r="147" spans="5:23" s="15" customFormat="1" x14ac:dyDescent="0.15">
      <c r="E147" s="16"/>
      <c r="F147" s="18"/>
      <c r="G147" s="111"/>
      <c r="H147" s="20"/>
      <c r="I147" s="112"/>
      <c r="W147" s="110"/>
    </row>
    <row r="148" spans="5:23" s="15" customFormat="1" x14ac:dyDescent="0.15">
      <c r="E148" s="16"/>
      <c r="F148" s="18"/>
      <c r="G148" s="111"/>
      <c r="H148" s="20"/>
      <c r="I148" s="112"/>
      <c r="W148" s="110"/>
    </row>
    <row r="149" spans="5:23" s="15" customFormat="1" x14ac:dyDescent="0.15">
      <c r="E149" s="16"/>
      <c r="F149" s="18"/>
      <c r="G149" s="111"/>
      <c r="H149" s="20"/>
      <c r="I149" s="112"/>
      <c r="W149" s="110"/>
    </row>
    <row r="150" spans="5:23" s="15" customFormat="1" x14ac:dyDescent="0.15">
      <c r="E150" s="16"/>
      <c r="F150" s="18"/>
      <c r="G150" s="111"/>
      <c r="H150" s="20"/>
      <c r="I150" s="112"/>
      <c r="W150" s="110"/>
    </row>
    <row r="151" spans="5:23" s="15" customFormat="1" x14ac:dyDescent="0.15">
      <c r="E151" s="16"/>
      <c r="F151" s="18"/>
      <c r="G151" s="111"/>
      <c r="H151" s="20"/>
      <c r="I151" s="112"/>
      <c r="W151" s="110"/>
    </row>
    <row r="152" spans="5:23" s="15" customFormat="1" x14ac:dyDescent="0.15">
      <c r="E152" s="16"/>
      <c r="F152" s="18"/>
      <c r="G152" s="111"/>
      <c r="H152" s="20"/>
      <c r="I152" s="112"/>
      <c r="W152" s="110"/>
    </row>
    <row r="153" spans="5:23" s="15" customFormat="1" x14ac:dyDescent="0.15">
      <c r="E153" s="16"/>
      <c r="F153" s="18"/>
      <c r="G153" s="111"/>
      <c r="H153" s="20"/>
      <c r="I153" s="112"/>
      <c r="W153" s="110"/>
    </row>
    <row r="154" spans="5:23" s="15" customFormat="1" x14ac:dyDescent="0.15">
      <c r="E154" s="16"/>
      <c r="F154" s="18"/>
      <c r="G154" s="111"/>
      <c r="H154" s="20"/>
      <c r="I154" s="112"/>
      <c r="W154" s="110"/>
    </row>
    <row r="155" spans="5:23" s="15" customFormat="1" x14ac:dyDescent="0.15">
      <c r="E155" s="16"/>
      <c r="F155" s="18"/>
      <c r="G155" s="111"/>
      <c r="H155" s="20"/>
      <c r="I155" s="112"/>
      <c r="W155" s="110"/>
    </row>
    <row r="156" spans="5:23" s="15" customFormat="1" x14ac:dyDescent="0.15">
      <c r="E156" s="16"/>
      <c r="F156" s="18"/>
      <c r="G156" s="111"/>
      <c r="H156" s="20"/>
      <c r="I156" s="112"/>
      <c r="W156" s="110"/>
    </row>
    <row r="157" spans="5:23" s="15" customFormat="1" x14ac:dyDescent="0.15">
      <c r="E157" s="16"/>
      <c r="F157" s="18"/>
      <c r="G157" s="111"/>
      <c r="H157" s="20"/>
      <c r="I157" s="112"/>
      <c r="W157" s="110"/>
    </row>
    <row r="158" spans="5:23" s="15" customFormat="1" x14ac:dyDescent="0.15">
      <c r="E158" s="16"/>
      <c r="F158" s="18"/>
      <c r="G158" s="111"/>
      <c r="H158" s="20"/>
      <c r="I158" s="112"/>
      <c r="W158" s="110"/>
    </row>
    <row r="159" spans="5:23" s="15" customFormat="1" x14ac:dyDescent="0.15">
      <c r="E159" s="16"/>
      <c r="F159" s="18"/>
      <c r="G159" s="111"/>
      <c r="H159" s="20"/>
      <c r="I159" s="112"/>
      <c r="W159" s="110"/>
    </row>
    <row r="160" spans="5:23" s="15" customFormat="1" x14ac:dyDescent="0.15">
      <c r="E160" s="16"/>
      <c r="F160" s="18"/>
      <c r="G160" s="111"/>
      <c r="H160" s="20"/>
      <c r="I160" s="112"/>
      <c r="W160" s="110"/>
    </row>
    <row r="161" spans="5:23" s="15" customFormat="1" x14ac:dyDescent="0.15">
      <c r="E161" s="16"/>
      <c r="F161" s="18"/>
      <c r="G161" s="111"/>
      <c r="H161" s="20"/>
      <c r="I161" s="112"/>
      <c r="W161" s="110"/>
    </row>
    <row r="162" spans="5:23" s="15" customFormat="1" x14ac:dyDescent="0.15">
      <c r="E162" s="16"/>
      <c r="F162" s="18"/>
      <c r="G162" s="111"/>
      <c r="H162" s="20"/>
      <c r="I162" s="112"/>
      <c r="W162" s="110"/>
    </row>
    <row r="163" spans="5:23" s="15" customFormat="1" x14ac:dyDescent="0.15">
      <c r="E163" s="16"/>
      <c r="F163" s="18"/>
      <c r="G163" s="111"/>
      <c r="H163" s="20"/>
      <c r="I163" s="112"/>
      <c r="W163" s="110"/>
    </row>
    <row r="164" spans="5:23" s="15" customFormat="1" x14ac:dyDescent="0.15">
      <c r="E164" s="16"/>
      <c r="F164" s="18"/>
      <c r="G164" s="111"/>
      <c r="H164" s="20"/>
      <c r="I164" s="112"/>
      <c r="W164" s="110"/>
    </row>
    <row r="165" spans="5:23" s="15" customFormat="1" x14ac:dyDescent="0.15">
      <c r="E165" s="16"/>
      <c r="F165" s="18"/>
      <c r="G165" s="111"/>
      <c r="H165" s="20"/>
      <c r="I165" s="112"/>
      <c r="W165" s="110"/>
    </row>
    <row r="166" spans="5:23" s="15" customFormat="1" x14ac:dyDescent="0.15">
      <c r="E166" s="16"/>
      <c r="F166" s="18"/>
      <c r="G166" s="111"/>
      <c r="H166" s="20"/>
      <c r="I166" s="112"/>
      <c r="W166" s="110"/>
    </row>
    <row r="167" spans="5:23" s="15" customFormat="1" x14ac:dyDescent="0.15">
      <c r="E167" s="16"/>
      <c r="F167" s="18"/>
      <c r="G167" s="111"/>
      <c r="H167" s="20"/>
      <c r="I167" s="112"/>
      <c r="W167" s="110"/>
    </row>
    <row r="168" spans="5:23" s="15" customFormat="1" x14ac:dyDescent="0.15">
      <c r="E168" s="16"/>
      <c r="F168" s="18"/>
      <c r="G168" s="111"/>
      <c r="H168" s="20"/>
      <c r="I168" s="112"/>
      <c r="W168" s="110"/>
    </row>
    <row r="169" spans="5:23" s="15" customFormat="1" x14ac:dyDescent="0.15">
      <c r="E169" s="16"/>
      <c r="F169" s="18"/>
      <c r="G169" s="111"/>
      <c r="H169" s="20"/>
      <c r="I169" s="112"/>
      <c r="W169" s="110"/>
    </row>
    <row r="170" spans="5:23" s="15" customFormat="1" x14ac:dyDescent="0.15">
      <c r="E170" s="16"/>
      <c r="F170" s="18"/>
      <c r="G170" s="111"/>
      <c r="H170" s="20"/>
      <c r="I170" s="112"/>
      <c r="W170" s="110"/>
    </row>
    <row r="171" spans="5:23" s="15" customFormat="1" x14ac:dyDescent="0.15">
      <c r="E171" s="16"/>
      <c r="F171" s="18"/>
      <c r="G171" s="111"/>
      <c r="H171" s="20"/>
      <c r="I171" s="112"/>
      <c r="W171" s="110"/>
    </row>
    <row r="172" spans="5:23" s="15" customFormat="1" x14ac:dyDescent="0.15">
      <c r="E172" s="16"/>
      <c r="F172" s="18"/>
      <c r="G172" s="111"/>
      <c r="H172" s="20"/>
      <c r="I172" s="112"/>
      <c r="W172" s="110"/>
    </row>
    <row r="173" spans="5:23" s="15" customFormat="1" x14ac:dyDescent="0.15">
      <c r="E173" s="16"/>
      <c r="F173" s="18"/>
      <c r="G173" s="111"/>
      <c r="H173" s="20"/>
      <c r="I173" s="112"/>
      <c r="W173" s="110"/>
    </row>
    <row r="174" spans="5:23" s="15" customFormat="1" x14ac:dyDescent="0.15">
      <c r="E174" s="16"/>
      <c r="F174" s="18"/>
      <c r="G174" s="111"/>
      <c r="H174" s="20"/>
      <c r="I174" s="112"/>
      <c r="W174" s="110"/>
    </row>
    <row r="175" spans="5:23" s="15" customFormat="1" x14ac:dyDescent="0.15">
      <c r="E175" s="16"/>
      <c r="F175" s="18"/>
      <c r="G175" s="111"/>
      <c r="H175" s="20"/>
      <c r="I175" s="112"/>
      <c r="W175" s="110"/>
    </row>
    <row r="176" spans="5:23" s="15" customFormat="1" x14ac:dyDescent="0.15">
      <c r="E176" s="16"/>
      <c r="F176" s="18"/>
      <c r="G176" s="111"/>
      <c r="H176" s="20"/>
      <c r="I176" s="112"/>
      <c r="W176" s="110"/>
    </row>
    <row r="177" spans="5:23" s="15" customFormat="1" x14ac:dyDescent="0.15">
      <c r="E177" s="16"/>
      <c r="F177" s="18"/>
      <c r="G177" s="111"/>
      <c r="H177" s="20"/>
      <c r="I177" s="112"/>
      <c r="W177" s="110"/>
    </row>
    <row r="178" spans="5:23" s="15" customFormat="1" x14ac:dyDescent="0.15">
      <c r="E178" s="16"/>
      <c r="F178" s="18"/>
      <c r="G178" s="111"/>
      <c r="H178" s="20"/>
      <c r="I178" s="112"/>
      <c r="W178" s="110"/>
    </row>
    <row r="179" spans="5:23" s="15" customFormat="1" x14ac:dyDescent="0.15">
      <c r="E179" s="16"/>
      <c r="F179" s="18"/>
      <c r="G179" s="111"/>
      <c r="H179" s="20"/>
      <c r="I179" s="112"/>
      <c r="W179" s="110"/>
    </row>
    <row r="180" spans="5:23" s="15" customFormat="1" x14ac:dyDescent="0.15">
      <c r="E180" s="16"/>
      <c r="F180" s="18"/>
      <c r="G180" s="111"/>
      <c r="H180" s="20"/>
      <c r="I180" s="112"/>
      <c r="W180" s="110"/>
    </row>
    <row r="181" spans="5:23" s="15" customFormat="1" x14ac:dyDescent="0.15">
      <c r="E181" s="16"/>
      <c r="F181" s="18"/>
      <c r="G181" s="111"/>
      <c r="H181" s="20"/>
      <c r="I181" s="112"/>
      <c r="W181" s="110"/>
    </row>
    <row r="182" spans="5:23" s="15" customFormat="1" x14ac:dyDescent="0.15">
      <c r="E182" s="16"/>
      <c r="F182" s="18"/>
      <c r="G182" s="111"/>
      <c r="H182" s="20"/>
      <c r="I182" s="112"/>
      <c r="W182" s="110"/>
    </row>
    <row r="183" spans="5:23" s="15" customFormat="1" x14ac:dyDescent="0.15">
      <c r="E183" s="16"/>
      <c r="F183" s="18"/>
      <c r="G183" s="111"/>
      <c r="H183" s="20"/>
      <c r="I183" s="112"/>
      <c r="W183" s="110"/>
    </row>
    <row r="184" spans="5:23" s="15" customFormat="1" x14ac:dyDescent="0.15">
      <c r="E184" s="16"/>
      <c r="F184" s="18"/>
      <c r="G184" s="111"/>
      <c r="H184" s="20"/>
      <c r="I184" s="112"/>
      <c r="W184" s="110"/>
    </row>
    <row r="185" spans="5:23" s="15" customFormat="1" x14ac:dyDescent="0.15">
      <c r="E185" s="16"/>
      <c r="F185" s="18"/>
      <c r="G185" s="111"/>
      <c r="H185" s="20"/>
      <c r="I185" s="112"/>
      <c r="W185" s="110"/>
    </row>
    <row r="186" spans="5:23" s="15" customFormat="1" x14ac:dyDescent="0.15">
      <c r="E186" s="16"/>
      <c r="F186" s="18"/>
      <c r="G186" s="111"/>
      <c r="H186" s="20"/>
      <c r="I186" s="112"/>
      <c r="W186" s="110"/>
    </row>
    <row r="187" spans="5:23" s="15" customFormat="1" x14ac:dyDescent="0.15">
      <c r="E187" s="16"/>
      <c r="F187" s="18"/>
      <c r="G187" s="111"/>
      <c r="H187" s="20"/>
      <c r="I187" s="112"/>
      <c r="W187" s="110"/>
    </row>
    <row r="188" spans="5:23" s="15" customFormat="1" x14ac:dyDescent="0.15">
      <c r="E188" s="16"/>
      <c r="F188" s="18"/>
      <c r="G188" s="111"/>
      <c r="H188" s="20"/>
      <c r="I188" s="112"/>
      <c r="W188" s="110"/>
    </row>
    <row r="189" spans="5:23" s="15" customFormat="1" x14ac:dyDescent="0.15">
      <c r="E189" s="16"/>
      <c r="F189" s="18"/>
      <c r="G189" s="111"/>
      <c r="H189" s="20"/>
      <c r="I189" s="112"/>
      <c r="W189" s="110"/>
    </row>
    <row r="190" spans="5:23" s="15" customFormat="1" x14ac:dyDescent="0.15">
      <c r="E190" s="16"/>
      <c r="F190" s="18"/>
      <c r="G190" s="111"/>
      <c r="H190" s="20"/>
      <c r="I190" s="112"/>
      <c r="W190" s="110"/>
    </row>
    <row r="191" spans="5:23" s="15" customFormat="1" x14ac:dyDescent="0.15">
      <c r="E191" s="16"/>
      <c r="F191" s="18"/>
      <c r="G191" s="111"/>
      <c r="H191" s="20"/>
      <c r="I191" s="112"/>
      <c r="W191" s="110"/>
    </row>
    <row r="192" spans="5:23" s="15" customFormat="1" x14ac:dyDescent="0.15">
      <c r="E192" s="16"/>
      <c r="F192" s="18"/>
      <c r="G192" s="111"/>
      <c r="H192" s="20"/>
      <c r="I192" s="112"/>
      <c r="W192" s="110"/>
    </row>
    <row r="193" spans="5:23" s="15" customFormat="1" x14ac:dyDescent="0.15">
      <c r="E193" s="16"/>
      <c r="F193" s="18"/>
      <c r="G193" s="111"/>
      <c r="H193" s="20"/>
      <c r="I193" s="112"/>
      <c r="W193" s="110"/>
    </row>
    <row r="194" spans="5:23" s="15" customFormat="1" x14ac:dyDescent="0.15">
      <c r="E194" s="16"/>
      <c r="F194" s="18"/>
      <c r="G194" s="111"/>
      <c r="H194" s="20"/>
      <c r="I194" s="112"/>
      <c r="W194" s="110"/>
    </row>
    <row r="195" spans="5:23" s="15" customFormat="1" x14ac:dyDescent="0.15">
      <c r="E195" s="16"/>
      <c r="F195" s="18"/>
      <c r="G195" s="111"/>
      <c r="H195" s="20"/>
      <c r="I195" s="112"/>
      <c r="W195" s="110"/>
    </row>
    <row r="196" spans="5:23" s="15" customFormat="1" x14ac:dyDescent="0.15">
      <c r="E196" s="16"/>
      <c r="F196" s="18"/>
      <c r="G196" s="111"/>
      <c r="H196" s="20"/>
      <c r="I196" s="112"/>
      <c r="W196" s="110"/>
    </row>
    <row r="197" spans="5:23" s="15" customFormat="1" x14ac:dyDescent="0.15">
      <c r="E197" s="16"/>
      <c r="F197" s="18"/>
      <c r="G197" s="111"/>
      <c r="H197" s="20"/>
      <c r="I197" s="112"/>
      <c r="W197" s="110"/>
    </row>
    <row r="198" spans="5:23" s="15" customFormat="1" x14ac:dyDescent="0.15">
      <c r="E198" s="16"/>
      <c r="F198" s="18"/>
      <c r="G198" s="111"/>
      <c r="H198" s="20"/>
      <c r="I198" s="112"/>
      <c r="W198" s="110"/>
    </row>
    <row r="199" spans="5:23" s="15" customFormat="1" x14ac:dyDescent="0.15">
      <c r="E199" s="16"/>
      <c r="F199" s="18"/>
      <c r="G199" s="111"/>
      <c r="H199" s="20"/>
      <c r="I199" s="112"/>
      <c r="W199" s="110"/>
    </row>
    <row r="200" spans="5:23" s="15" customFormat="1" x14ac:dyDescent="0.15">
      <c r="E200" s="16"/>
      <c r="F200" s="18"/>
      <c r="G200" s="111"/>
      <c r="H200" s="20"/>
      <c r="I200" s="112"/>
      <c r="W200" s="110"/>
    </row>
    <row r="201" spans="5:23" s="15" customFormat="1" x14ac:dyDescent="0.15">
      <c r="E201" s="16"/>
      <c r="F201" s="18"/>
      <c r="G201" s="111"/>
      <c r="H201" s="20"/>
      <c r="I201" s="112"/>
      <c r="W201" s="110"/>
    </row>
    <row r="202" spans="5:23" s="15" customFormat="1" x14ac:dyDescent="0.15">
      <c r="E202" s="16"/>
      <c r="F202" s="18"/>
      <c r="G202" s="111"/>
      <c r="H202" s="20"/>
      <c r="I202" s="112"/>
      <c r="W202" s="110"/>
    </row>
    <row r="203" spans="5:23" s="15" customFormat="1" x14ac:dyDescent="0.15">
      <c r="E203" s="16"/>
      <c r="F203" s="18"/>
      <c r="G203" s="111"/>
      <c r="H203" s="20"/>
      <c r="I203" s="112"/>
      <c r="W203" s="110"/>
    </row>
    <row r="204" spans="5:23" s="15" customFormat="1" x14ac:dyDescent="0.15">
      <c r="E204" s="16"/>
      <c r="F204" s="18"/>
      <c r="G204" s="111"/>
      <c r="H204" s="20"/>
      <c r="I204" s="112"/>
      <c r="W204" s="110"/>
    </row>
    <row r="205" spans="5:23" s="15" customFormat="1" x14ac:dyDescent="0.15">
      <c r="E205" s="16"/>
      <c r="F205" s="18"/>
      <c r="G205" s="111"/>
      <c r="H205" s="20"/>
      <c r="I205" s="112"/>
      <c r="W205" s="110"/>
    </row>
    <row r="206" spans="5:23" s="15" customFormat="1" x14ac:dyDescent="0.15">
      <c r="E206" s="16"/>
      <c r="F206" s="18"/>
      <c r="G206" s="111"/>
      <c r="H206" s="20"/>
      <c r="I206" s="112"/>
      <c r="W206" s="110"/>
    </row>
    <row r="207" spans="5:23" s="15" customFormat="1" x14ac:dyDescent="0.15">
      <c r="E207" s="16"/>
      <c r="F207" s="18"/>
      <c r="G207" s="111"/>
      <c r="H207" s="20"/>
      <c r="I207" s="112"/>
      <c r="W207" s="110"/>
    </row>
    <row r="208" spans="5:23" s="15" customFormat="1" x14ac:dyDescent="0.15">
      <c r="E208" s="16"/>
      <c r="F208" s="18"/>
      <c r="G208" s="111"/>
      <c r="H208" s="20"/>
      <c r="I208" s="112"/>
      <c r="W208" s="110"/>
    </row>
    <row r="209" spans="5:23" s="15" customFormat="1" x14ac:dyDescent="0.15">
      <c r="E209" s="16"/>
      <c r="F209" s="18"/>
      <c r="G209" s="111"/>
      <c r="H209" s="20"/>
      <c r="I209" s="112"/>
      <c r="W209" s="110"/>
    </row>
    <row r="210" spans="5:23" s="15" customFormat="1" x14ac:dyDescent="0.15">
      <c r="E210" s="16"/>
      <c r="F210" s="18"/>
      <c r="G210" s="111"/>
      <c r="H210" s="20"/>
      <c r="I210" s="112"/>
      <c r="W210" s="110"/>
    </row>
    <row r="211" spans="5:23" s="15" customFormat="1" x14ac:dyDescent="0.15">
      <c r="E211" s="16"/>
      <c r="F211" s="18"/>
      <c r="G211" s="111"/>
      <c r="H211" s="20"/>
      <c r="I211" s="112"/>
      <c r="W211" s="110"/>
    </row>
    <row r="212" spans="5:23" s="15" customFormat="1" x14ac:dyDescent="0.15">
      <c r="E212" s="16"/>
      <c r="F212" s="18"/>
      <c r="G212" s="111"/>
      <c r="H212" s="20"/>
      <c r="I212" s="112"/>
      <c r="W212" s="110"/>
    </row>
    <row r="213" spans="5:23" s="15" customFormat="1" x14ac:dyDescent="0.15">
      <c r="E213" s="16"/>
      <c r="F213" s="18"/>
      <c r="G213" s="111"/>
      <c r="H213" s="20"/>
      <c r="I213" s="112"/>
      <c r="W213" s="110"/>
    </row>
    <row r="214" spans="5:23" s="15" customFormat="1" x14ac:dyDescent="0.15">
      <c r="E214" s="16"/>
      <c r="F214" s="18"/>
      <c r="G214" s="111"/>
      <c r="H214" s="20"/>
      <c r="I214" s="112"/>
      <c r="W214" s="110"/>
    </row>
    <row r="215" spans="5:23" s="15" customFormat="1" x14ac:dyDescent="0.15">
      <c r="E215" s="16"/>
      <c r="F215" s="18"/>
      <c r="G215" s="111"/>
      <c r="H215" s="20"/>
      <c r="I215" s="112"/>
      <c r="W215" s="110"/>
    </row>
    <row r="216" spans="5:23" s="15" customFormat="1" x14ac:dyDescent="0.15">
      <c r="E216" s="16"/>
      <c r="F216" s="18"/>
      <c r="G216" s="111"/>
      <c r="H216" s="20"/>
      <c r="I216" s="112"/>
      <c r="W216" s="110"/>
    </row>
    <row r="217" spans="5:23" s="15" customFormat="1" x14ac:dyDescent="0.15">
      <c r="E217" s="16"/>
      <c r="F217" s="18"/>
      <c r="G217" s="111"/>
      <c r="H217" s="20"/>
      <c r="I217" s="112"/>
      <c r="W217" s="110"/>
    </row>
    <row r="218" spans="5:23" s="15" customFormat="1" x14ac:dyDescent="0.15">
      <c r="E218" s="16"/>
      <c r="F218" s="18"/>
      <c r="G218" s="111"/>
      <c r="H218" s="20"/>
      <c r="I218" s="112"/>
      <c r="W218" s="110"/>
    </row>
    <row r="219" spans="5:23" s="15" customFormat="1" x14ac:dyDescent="0.15">
      <c r="E219" s="16"/>
      <c r="F219" s="18"/>
      <c r="G219" s="111"/>
      <c r="H219" s="20"/>
      <c r="I219" s="112"/>
      <c r="W219" s="110"/>
    </row>
    <row r="220" spans="5:23" s="15" customFormat="1" x14ac:dyDescent="0.15">
      <c r="E220" s="16"/>
      <c r="F220" s="18"/>
      <c r="G220" s="111"/>
      <c r="H220" s="20"/>
      <c r="I220" s="112"/>
      <c r="W220" s="110"/>
    </row>
    <row r="221" spans="5:23" s="15" customFormat="1" x14ac:dyDescent="0.15">
      <c r="E221" s="16"/>
      <c r="F221" s="18"/>
      <c r="G221" s="111"/>
      <c r="H221" s="20"/>
      <c r="I221" s="112"/>
      <c r="W221" s="110"/>
    </row>
    <row r="222" spans="5:23" s="15" customFormat="1" x14ac:dyDescent="0.15">
      <c r="E222" s="16"/>
      <c r="F222" s="18"/>
      <c r="G222" s="111"/>
      <c r="H222" s="20"/>
      <c r="I222" s="112"/>
      <c r="W222" s="110"/>
    </row>
    <row r="223" spans="5:23" s="15" customFormat="1" x14ac:dyDescent="0.15">
      <c r="E223" s="16"/>
      <c r="F223" s="18"/>
      <c r="G223" s="111"/>
      <c r="H223" s="20"/>
      <c r="I223" s="112"/>
      <c r="W223" s="110"/>
    </row>
    <row r="224" spans="5:23" s="15" customFormat="1" x14ac:dyDescent="0.15">
      <c r="E224" s="16"/>
      <c r="F224" s="18"/>
      <c r="G224" s="111"/>
      <c r="H224" s="20"/>
      <c r="I224" s="112"/>
      <c r="W224" s="110"/>
    </row>
    <row r="225" spans="5:23" s="15" customFormat="1" x14ac:dyDescent="0.15">
      <c r="E225" s="16"/>
      <c r="F225" s="18"/>
      <c r="G225" s="111"/>
      <c r="H225" s="20"/>
      <c r="I225" s="112"/>
      <c r="W225" s="110"/>
    </row>
    <row r="226" spans="5:23" s="15" customFormat="1" x14ac:dyDescent="0.15">
      <c r="E226" s="16"/>
      <c r="F226" s="18"/>
      <c r="G226" s="111"/>
      <c r="H226" s="20"/>
      <c r="I226" s="112"/>
      <c r="W226" s="110"/>
    </row>
    <row r="227" spans="5:23" s="15" customFormat="1" x14ac:dyDescent="0.15">
      <c r="E227" s="16"/>
      <c r="F227" s="18"/>
      <c r="G227" s="111"/>
      <c r="H227" s="20"/>
      <c r="I227" s="112"/>
      <c r="W227" s="110"/>
    </row>
    <row r="228" spans="5:23" s="15" customFormat="1" x14ac:dyDescent="0.15">
      <c r="E228" s="16"/>
      <c r="F228" s="18"/>
      <c r="G228" s="111"/>
      <c r="H228" s="20"/>
      <c r="I228" s="112"/>
      <c r="W228" s="110"/>
    </row>
    <row r="229" spans="5:23" s="15" customFormat="1" x14ac:dyDescent="0.15">
      <c r="E229" s="16"/>
      <c r="F229" s="18"/>
      <c r="G229" s="111"/>
      <c r="H229" s="20"/>
      <c r="I229" s="112"/>
      <c r="W229" s="110"/>
    </row>
    <row r="230" spans="5:23" s="15" customFormat="1" x14ac:dyDescent="0.15">
      <c r="E230" s="16"/>
      <c r="F230" s="18"/>
      <c r="G230" s="111"/>
      <c r="H230" s="20"/>
      <c r="I230" s="112"/>
      <c r="W230" s="110"/>
    </row>
    <row r="231" spans="5:23" s="15" customFormat="1" x14ac:dyDescent="0.15">
      <c r="E231" s="16"/>
      <c r="F231" s="18"/>
      <c r="G231" s="111"/>
      <c r="H231" s="20"/>
      <c r="I231" s="112"/>
      <c r="W231" s="110"/>
    </row>
    <row r="232" spans="5:23" s="15" customFormat="1" x14ac:dyDescent="0.15">
      <c r="E232" s="16"/>
      <c r="F232" s="18"/>
      <c r="G232" s="111"/>
      <c r="H232" s="20"/>
      <c r="I232" s="112"/>
      <c r="W232" s="110"/>
    </row>
    <row r="233" spans="5:23" s="15" customFormat="1" x14ac:dyDescent="0.15">
      <c r="E233" s="16"/>
      <c r="F233" s="18"/>
      <c r="G233" s="111"/>
      <c r="H233" s="20"/>
      <c r="I233" s="112"/>
      <c r="W233" s="110"/>
    </row>
    <row r="234" spans="5:23" s="15" customFormat="1" x14ac:dyDescent="0.15">
      <c r="E234" s="16"/>
      <c r="F234" s="18"/>
      <c r="G234" s="111"/>
      <c r="H234" s="20"/>
      <c r="I234" s="112"/>
      <c r="W234" s="110"/>
    </row>
    <row r="235" spans="5:23" s="15" customFormat="1" x14ac:dyDescent="0.15">
      <c r="E235" s="16"/>
      <c r="F235" s="18"/>
      <c r="G235" s="111"/>
      <c r="H235" s="20"/>
      <c r="I235" s="112"/>
      <c r="W235" s="110"/>
    </row>
    <row r="236" spans="5:23" s="15" customFormat="1" x14ac:dyDescent="0.15">
      <c r="E236" s="16"/>
      <c r="F236" s="18"/>
      <c r="G236" s="111"/>
      <c r="H236" s="20"/>
      <c r="I236" s="112"/>
      <c r="W236" s="110"/>
    </row>
    <row r="237" spans="5:23" s="15" customFormat="1" x14ac:dyDescent="0.15">
      <c r="E237" s="16"/>
      <c r="F237" s="18"/>
      <c r="G237" s="111"/>
      <c r="H237" s="20"/>
      <c r="I237" s="112"/>
      <c r="W237" s="110"/>
    </row>
    <row r="238" spans="5:23" s="15" customFormat="1" x14ac:dyDescent="0.15">
      <c r="E238" s="16"/>
      <c r="F238" s="18"/>
      <c r="G238" s="111"/>
      <c r="H238" s="20"/>
      <c r="I238" s="112"/>
      <c r="W238" s="110"/>
    </row>
    <row r="239" spans="5:23" s="15" customFormat="1" x14ac:dyDescent="0.15">
      <c r="E239" s="16"/>
      <c r="F239" s="18"/>
      <c r="G239" s="111"/>
      <c r="H239" s="20"/>
      <c r="I239" s="112"/>
      <c r="W239" s="110"/>
    </row>
    <row r="240" spans="5:23" s="15" customFormat="1" x14ac:dyDescent="0.15">
      <c r="E240" s="16"/>
      <c r="F240" s="18"/>
      <c r="G240" s="111"/>
      <c r="H240" s="20"/>
      <c r="I240" s="112"/>
      <c r="W240" s="110"/>
    </row>
    <row r="241" spans="5:23" s="15" customFormat="1" x14ac:dyDescent="0.15">
      <c r="E241" s="16"/>
      <c r="F241" s="18"/>
      <c r="G241" s="111"/>
      <c r="H241" s="20"/>
      <c r="I241" s="112"/>
      <c r="W241" s="110"/>
    </row>
    <row r="242" spans="5:23" s="15" customFormat="1" x14ac:dyDescent="0.15">
      <c r="E242" s="16"/>
      <c r="F242" s="18"/>
      <c r="G242" s="111"/>
      <c r="H242" s="20"/>
      <c r="I242" s="112"/>
      <c r="W242" s="110"/>
    </row>
    <row r="243" spans="5:23" s="15" customFormat="1" x14ac:dyDescent="0.15">
      <c r="E243" s="16"/>
      <c r="F243" s="18"/>
      <c r="G243" s="111"/>
      <c r="H243" s="20"/>
      <c r="I243" s="112"/>
      <c r="W243" s="110"/>
    </row>
    <row r="244" spans="5:23" s="15" customFormat="1" x14ac:dyDescent="0.15">
      <c r="E244" s="16"/>
      <c r="F244" s="18"/>
      <c r="G244" s="111"/>
      <c r="H244" s="20"/>
      <c r="I244" s="112"/>
      <c r="W244" s="110"/>
    </row>
    <row r="245" spans="5:23" s="15" customFormat="1" x14ac:dyDescent="0.15">
      <c r="E245" s="16"/>
      <c r="F245" s="18"/>
      <c r="G245" s="111"/>
      <c r="H245" s="20"/>
      <c r="I245" s="112"/>
      <c r="W245" s="110"/>
    </row>
    <row r="246" spans="5:23" s="15" customFormat="1" x14ac:dyDescent="0.15">
      <c r="E246" s="16"/>
      <c r="F246" s="18"/>
      <c r="G246" s="111"/>
      <c r="H246" s="20"/>
      <c r="I246" s="112"/>
      <c r="W246" s="110"/>
    </row>
    <row r="247" spans="5:23" s="15" customFormat="1" x14ac:dyDescent="0.15">
      <c r="E247" s="16"/>
      <c r="F247" s="18"/>
      <c r="G247" s="111"/>
      <c r="H247" s="20"/>
      <c r="I247" s="112"/>
      <c r="W247" s="110"/>
    </row>
    <row r="248" spans="5:23" s="15" customFormat="1" x14ac:dyDescent="0.15">
      <c r="E248" s="16"/>
      <c r="F248" s="18"/>
      <c r="G248" s="111"/>
      <c r="H248" s="20"/>
      <c r="I248" s="112"/>
      <c r="W248" s="110"/>
    </row>
    <row r="249" spans="5:23" s="15" customFormat="1" x14ac:dyDescent="0.15">
      <c r="E249" s="16"/>
      <c r="F249" s="18"/>
      <c r="G249" s="111"/>
      <c r="H249" s="20"/>
      <c r="I249" s="112"/>
      <c r="W249" s="110"/>
    </row>
    <row r="250" spans="5:23" s="15" customFormat="1" x14ac:dyDescent="0.15">
      <c r="E250" s="16"/>
      <c r="F250" s="18"/>
      <c r="G250" s="111"/>
      <c r="H250" s="20"/>
      <c r="I250" s="112"/>
      <c r="W250" s="110"/>
    </row>
    <row r="251" spans="5:23" s="15" customFormat="1" x14ac:dyDescent="0.15">
      <c r="E251" s="16"/>
      <c r="F251" s="18"/>
      <c r="G251" s="111"/>
      <c r="H251" s="20"/>
      <c r="I251" s="112"/>
      <c r="W251" s="110"/>
    </row>
    <row r="252" spans="5:23" s="15" customFormat="1" x14ac:dyDescent="0.15">
      <c r="E252" s="16"/>
      <c r="F252" s="18"/>
      <c r="G252" s="111"/>
      <c r="H252" s="20"/>
      <c r="I252" s="112"/>
      <c r="W252" s="110"/>
    </row>
    <row r="253" spans="5:23" s="15" customFormat="1" x14ac:dyDescent="0.15">
      <c r="E253" s="16"/>
      <c r="F253" s="18"/>
      <c r="G253" s="111"/>
      <c r="H253" s="20"/>
      <c r="I253" s="112"/>
      <c r="W253" s="110"/>
    </row>
    <row r="254" spans="5:23" s="15" customFormat="1" x14ac:dyDescent="0.15">
      <c r="E254" s="16"/>
      <c r="F254" s="18"/>
      <c r="G254" s="111"/>
      <c r="H254" s="20"/>
      <c r="I254" s="112"/>
      <c r="W254" s="110"/>
    </row>
    <row r="255" spans="5:23" s="15" customFormat="1" x14ac:dyDescent="0.15">
      <c r="E255" s="16"/>
      <c r="F255" s="18"/>
      <c r="G255" s="111"/>
      <c r="H255" s="20"/>
      <c r="I255" s="112"/>
      <c r="W255" s="110"/>
    </row>
    <row r="256" spans="5:23" s="15" customFormat="1" x14ac:dyDescent="0.15">
      <c r="E256" s="16"/>
      <c r="F256" s="18"/>
      <c r="G256" s="111"/>
      <c r="H256" s="20"/>
      <c r="I256" s="112"/>
      <c r="W256" s="110"/>
    </row>
    <row r="257" spans="5:23" s="15" customFormat="1" x14ac:dyDescent="0.15">
      <c r="E257" s="16"/>
      <c r="F257" s="18"/>
      <c r="G257" s="111"/>
      <c r="H257" s="20"/>
      <c r="I257" s="112"/>
      <c r="W257" s="110"/>
    </row>
    <row r="258" spans="5:23" s="15" customFormat="1" x14ac:dyDescent="0.15">
      <c r="E258" s="16"/>
      <c r="F258" s="18"/>
      <c r="G258" s="111"/>
      <c r="H258" s="20"/>
      <c r="I258" s="112"/>
      <c r="W258" s="110"/>
    </row>
    <row r="259" spans="5:23" s="15" customFormat="1" x14ac:dyDescent="0.15">
      <c r="E259" s="16"/>
      <c r="F259" s="18"/>
      <c r="G259" s="111"/>
      <c r="H259" s="20"/>
      <c r="I259" s="112"/>
      <c r="W259" s="110"/>
    </row>
    <row r="260" spans="5:23" s="15" customFormat="1" x14ac:dyDescent="0.15">
      <c r="E260" s="16"/>
      <c r="F260" s="18"/>
      <c r="G260" s="111"/>
      <c r="H260" s="20"/>
      <c r="I260" s="112"/>
      <c r="W260" s="110"/>
    </row>
    <row r="261" spans="5:23" s="15" customFormat="1" x14ac:dyDescent="0.15">
      <c r="E261" s="16"/>
      <c r="F261" s="18"/>
      <c r="G261" s="111"/>
      <c r="H261" s="20"/>
      <c r="I261" s="112"/>
      <c r="W261" s="110"/>
    </row>
    <row r="262" spans="5:23" s="15" customFormat="1" x14ac:dyDescent="0.15">
      <c r="E262" s="16"/>
      <c r="F262" s="18"/>
      <c r="G262" s="111"/>
      <c r="H262" s="20"/>
      <c r="I262" s="112"/>
      <c r="W262" s="110"/>
    </row>
    <row r="263" spans="5:23" s="15" customFormat="1" x14ac:dyDescent="0.15">
      <c r="E263" s="16"/>
      <c r="F263" s="18"/>
      <c r="G263" s="111"/>
      <c r="H263" s="20"/>
      <c r="I263" s="112"/>
      <c r="W263" s="110"/>
    </row>
    <row r="264" spans="5:23" s="15" customFormat="1" x14ac:dyDescent="0.15">
      <c r="E264" s="16"/>
      <c r="F264" s="18"/>
      <c r="G264" s="111"/>
      <c r="H264" s="20"/>
      <c r="I264" s="112"/>
      <c r="W264" s="110"/>
    </row>
    <row r="265" spans="5:23" s="15" customFormat="1" x14ac:dyDescent="0.15">
      <c r="E265" s="16"/>
      <c r="F265" s="18"/>
      <c r="G265" s="111"/>
      <c r="H265" s="20"/>
      <c r="I265" s="112"/>
      <c r="W265" s="110"/>
    </row>
    <row r="266" spans="5:23" s="15" customFormat="1" x14ac:dyDescent="0.15">
      <c r="E266" s="16"/>
      <c r="F266" s="18"/>
      <c r="G266" s="111"/>
      <c r="H266" s="20"/>
      <c r="I266" s="112"/>
      <c r="W266" s="110"/>
    </row>
    <row r="267" spans="5:23" s="15" customFormat="1" x14ac:dyDescent="0.15">
      <c r="E267" s="16"/>
      <c r="F267" s="18"/>
      <c r="G267" s="111"/>
      <c r="H267" s="20"/>
      <c r="I267" s="112"/>
      <c r="W267" s="110"/>
    </row>
    <row r="268" spans="5:23" s="15" customFormat="1" x14ac:dyDescent="0.15">
      <c r="E268" s="16"/>
      <c r="F268" s="18"/>
      <c r="G268" s="111"/>
      <c r="H268" s="20"/>
      <c r="I268" s="112"/>
      <c r="W268" s="110"/>
    </row>
    <row r="269" spans="5:23" s="15" customFormat="1" x14ac:dyDescent="0.15">
      <c r="E269" s="16"/>
      <c r="F269" s="18"/>
      <c r="G269" s="111"/>
      <c r="H269" s="20"/>
      <c r="I269" s="112"/>
      <c r="W269" s="110"/>
    </row>
    <row r="270" spans="5:23" s="15" customFormat="1" x14ac:dyDescent="0.15">
      <c r="E270" s="16"/>
      <c r="F270" s="18"/>
      <c r="G270" s="111"/>
      <c r="H270" s="20"/>
      <c r="I270" s="112"/>
      <c r="W270" s="110"/>
    </row>
    <row r="271" spans="5:23" s="15" customFormat="1" x14ac:dyDescent="0.15">
      <c r="E271" s="16"/>
      <c r="F271" s="18"/>
      <c r="G271" s="111"/>
      <c r="H271" s="20"/>
      <c r="I271" s="112"/>
      <c r="W271" s="110"/>
    </row>
    <row r="272" spans="5:23" s="15" customFormat="1" x14ac:dyDescent="0.15">
      <c r="E272" s="16"/>
      <c r="F272" s="18"/>
      <c r="G272" s="111"/>
      <c r="H272" s="20"/>
      <c r="I272" s="112"/>
      <c r="W272" s="110"/>
    </row>
    <row r="273" spans="5:7" x14ac:dyDescent="0.15">
      <c r="E273" s="16"/>
      <c r="F273" s="18"/>
      <c r="G273" s="111"/>
    </row>
    <row r="274" spans="5:7" x14ac:dyDescent="0.15">
      <c r="E274" s="16"/>
      <c r="F274" s="18"/>
      <c r="G274" s="111"/>
    </row>
    <row r="275" spans="5:7" x14ac:dyDescent="0.15">
      <c r="E275" s="16"/>
      <c r="F275" s="18"/>
      <c r="G275" s="111"/>
    </row>
    <row r="276" spans="5:7" x14ac:dyDescent="0.15">
      <c r="E276" s="16"/>
      <c r="F276" s="18"/>
      <c r="G276" s="111"/>
    </row>
    <row r="277" spans="5:7" x14ac:dyDescent="0.15">
      <c r="E277" s="16"/>
      <c r="F277" s="18"/>
      <c r="G277" s="111"/>
    </row>
    <row r="278" spans="5:7" x14ac:dyDescent="0.15">
      <c r="E278" s="16"/>
      <c r="F278" s="18"/>
      <c r="G278" s="111"/>
    </row>
    <row r="279" spans="5:7" x14ac:dyDescent="0.15">
      <c r="E279" s="16"/>
      <c r="F279" s="18"/>
      <c r="G279" s="111"/>
    </row>
    <row r="280" spans="5:7" x14ac:dyDescent="0.15">
      <c r="E280" s="16"/>
      <c r="F280" s="18"/>
      <c r="G280" s="111"/>
    </row>
    <row r="281" spans="5:7" x14ac:dyDescent="0.15">
      <c r="E281" s="16"/>
      <c r="F281" s="18"/>
      <c r="G281" s="111"/>
    </row>
    <row r="282" spans="5:7" x14ac:dyDescent="0.15">
      <c r="E282" s="16"/>
      <c r="F282" s="18"/>
      <c r="G282" s="111"/>
    </row>
    <row r="283" spans="5:7" x14ac:dyDescent="0.15">
      <c r="E283" s="16"/>
      <c r="F283" s="18"/>
      <c r="G283" s="111"/>
    </row>
    <row r="284" spans="5:7" x14ac:dyDescent="0.15">
      <c r="E284" s="16"/>
      <c r="F284" s="18"/>
      <c r="G284" s="111"/>
    </row>
    <row r="285" spans="5:7" x14ac:dyDescent="0.15">
      <c r="E285" s="16"/>
      <c r="F285" s="18"/>
      <c r="G285" s="111"/>
    </row>
    <row r="286" spans="5:7" x14ac:dyDescent="0.15">
      <c r="E286" s="16"/>
      <c r="F286" s="18"/>
      <c r="G286" s="111"/>
    </row>
    <row r="287" spans="5:7" x14ac:dyDescent="0.15">
      <c r="E287" s="16"/>
      <c r="F287" s="18"/>
      <c r="G287" s="111"/>
    </row>
    <row r="288" spans="5:7" x14ac:dyDescent="0.15">
      <c r="E288" s="16"/>
      <c r="F288" s="18"/>
      <c r="G288" s="111"/>
    </row>
    <row r="289" spans="5:7" x14ac:dyDescent="0.15">
      <c r="E289" s="16"/>
      <c r="F289" s="18"/>
      <c r="G289" s="111"/>
    </row>
    <row r="290" spans="5:7" x14ac:dyDescent="0.15">
      <c r="E290" s="16"/>
      <c r="F290" s="18"/>
      <c r="G290" s="111"/>
    </row>
    <row r="291" spans="5:7" x14ac:dyDescent="0.15">
      <c r="E291" s="16"/>
      <c r="F291" s="18"/>
      <c r="G291" s="111"/>
    </row>
    <row r="292" spans="5:7" x14ac:dyDescent="0.15">
      <c r="E292" s="16"/>
      <c r="F292" s="18"/>
      <c r="G292" s="111"/>
    </row>
    <row r="293" spans="5:7" x14ac:dyDescent="0.15">
      <c r="E293" s="16"/>
      <c r="F293" s="18"/>
      <c r="G293" s="111"/>
    </row>
    <row r="294" spans="5:7" x14ac:dyDescent="0.15">
      <c r="E294" s="16"/>
      <c r="F294" s="18"/>
      <c r="G294" s="111"/>
    </row>
    <row r="295" spans="5:7" x14ac:dyDescent="0.15">
      <c r="E295" s="16"/>
      <c r="F295" s="18"/>
      <c r="G295" s="111"/>
    </row>
    <row r="296" spans="5:7" x14ac:dyDescent="0.15">
      <c r="E296" s="16"/>
      <c r="F296" s="18"/>
      <c r="G296" s="111"/>
    </row>
    <row r="297" spans="5:7" x14ac:dyDescent="0.15">
      <c r="E297" s="16"/>
      <c r="F297" s="18"/>
      <c r="G297" s="111"/>
    </row>
    <row r="298" spans="5:7" x14ac:dyDescent="0.15">
      <c r="E298" s="16"/>
      <c r="F298" s="18"/>
      <c r="G298" s="111"/>
    </row>
    <row r="299" spans="5:7" x14ac:dyDescent="0.15">
      <c r="E299" s="16"/>
      <c r="F299" s="18"/>
      <c r="G299" s="111"/>
    </row>
    <row r="300" spans="5:7" x14ac:dyDescent="0.15">
      <c r="E300" s="16"/>
      <c r="F300" s="18"/>
      <c r="G300" s="111"/>
    </row>
    <row r="301" spans="5:7" x14ac:dyDescent="0.15">
      <c r="E301" s="16"/>
      <c r="F301" s="18"/>
      <c r="G301" s="111"/>
    </row>
    <row r="302" spans="5:7" x14ac:dyDescent="0.15">
      <c r="E302" s="16"/>
      <c r="F302" s="18"/>
      <c r="G302" s="111"/>
    </row>
    <row r="303" spans="5:7" x14ac:dyDescent="0.15">
      <c r="E303" s="16"/>
      <c r="F303" s="18"/>
      <c r="G303" s="111"/>
    </row>
    <row r="304" spans="5:7" x14ac:dyDescent="0.15">
      <c r="E304" s="16"/>
      <c r="F304" s="18"/>
      <c r="G304" s="111"/>
    </row>
    <row r="305" spans="5:7" x14ac:dyDescent="0.15">
      <c r="E305" s="16"/>
      <c r="F305" s="18"/>
      <c r="G305" s="111"/>
    </row>
    <row r="306" spans="5:7" x14ac:dyDescent="0.15">
      <c r="E306" s="16"/>
      <c r="F306" s="18"/>
      <c r="G306" s="111"/>
    </row>
    <row r="307" spans="5:7" x14ac:dyDescent="0.15">
      <c r="E307" s="16"/>
      <c r="F307" s="18"/>
      <c r="G307" s="111"/>
    </row>
    <row r="308" spans="5:7" x14ac:dyDescent="0.15">
      <c r="E308" s="16"/>
      <c r="F308" s="18"/>
      <c r="G308" s="111"/>
    </row>
    <row r="309" spans="5:7" x14ac:dyDescent="0.15">
      <c r="E309" s="16"/>
      <c r="F309" s="18"/>
      <c r="G309" s="111"/>
    </row>
    <row r="310" spans="5:7" x14ac:dyDescent="0.15">
      <c r="E310" s="16"/>
      <c r="F310" s="18"/>
      <c r="G310" s="111"/>
    </row>
    <row r="311" spans="5:7" x14ac:dyDescent="0.15">
      <c r="E311" s="16"/>
      <c r="F311" s="18"/>
      <c r="G311" s="111"/>
    </row>
    <row r="312" spans="5:7" x14ac:dyDescent="0.15">
      <c r="E312" s="16"/>
      <c r="F312" s="18"/>
      <c r="G312" s="111"/>
    </row>
    <row r="313" spans="5:7" x14ac:dyDescent="0.15">
      <c r="E313" s="16"/>
      <c r="F313" s="18"/>
      <c r="G313" s="111"/>
    </row>
    <row r="314" spans="5:7" x14ac:dyDescent="0.15">
      <c r="E314" s="16"/>
      <c r="F314" s="18"/>
      <c r="G314" s="111"/>
    </row>
    <row r="315" spans="5:7" x14ac:dyDescent="0.15">
      <c r="E315" s="16"/>
      <c r="F315" s="18"/>
      <c r="G315" s="111"/>
    </row>
    <row r="316" spans="5:7" x14ac:dyDescent="0.15">
      <c r="E316" s="16"/>
      <c r="F316" s="18"/>
      <c r="G316" s="111"/>
    </row>
    <row r="317" spans="5:7" x14ac:dyDescent="0.15">
      <c r="E317" s="16"/>
      <c r="F317" s="18"/>
      <c r="G317" s="111"/>
    </row>
    <row r="318" spans="5:7" x14ac:dyDescent="0.15">
      <c r="E318" s="16"/>
      <c r="F318" s="18"/>
      <c r="G318" s="111"/>
    </row>
    <row r="319" spans="5:7" x14ac:dyDescent="0.15">
      <c r="E319" s="16"/>
      <c r="F319" s="18"/>
      <c r="G319" s="111"/>
    </row>
    <row r="320" spans="5:7" x14ac:dyDescent="0.15">
      <c r="E320" s="16"/>
      <c r="F320" s="18"/>
      <c r="G320" s="111"/>
    </row>
    <row r="321" spans="5:7" x14ac:dyDescent="0.15">
      <c r="E321" s="16"/>
      <c r="F321" s="18"/>
      <c r="G321" s="111"/>
    </row>
    <row r="322" spans="5:7" x14ac:dyDescent="0.15">
      <c r="E322" s="16"/>
      <c r="F322" s="18"/>
      <c r="G322" s="111"/>
    </row>
    <row r="323" spans="5:7" x14ac:dyDescent="0.15">
      <c r="E323" s="16"/>
      <c r="F323" s="18"/>
      <c r="G323" s="111"/>
    </row>
    <row r="324" spans="5:7" x14ac:dyDescent="0.15">
      <c r="E324" s="16"/>
      <c r="F324" s="18"/>
      <c r="G324" s="111"/>
    </row>
    <row r="325" spans="5:7" x14ac:dyDescent="0.15">
      <c r="E325" s="16"/>
      <c r="F325" s="18"/>
      <c r="G325" s="111"/>
    </row>
    <row r="326" spans="5:7" x14ac:dyDescent="0.15">
      <c r="E326" s="16"/>
      <c r="F326" s="18"/>
      <c r="G326" s="111"/>
    </row>
    <row r="327" spans="5:7" x14ac:dyDescent="0.15">
      <c r="E327" s="16"/>
      <c r="F327" s="18"/>
      <c r="G327" s="111"/>
    </row>
    <row r="328" spans="5:7" x14ac:dyDescent="0.15">
      <c r="E328" s="16"/>
      <c r="F328" s="18"/>
      <c r="G328" s="111"/>
    </row>
    <row r="329" spans="5:7" x14ac:dyDescent="0.15">
      <c r="E329" s="16"/>
      <c r="F329" s="18"/>
      <c r="G329" s="111"/>
    </row>
    <row r="330" spans="5:7" x14ac:dyDescent="0.15">
      <c r="E330" s="16"/>
      <c r="F330" s="18"/>
      <c r="G330" s="111"/>
    </row>
    <row r="331" spans="5:7" x14ac:dyDescent="0.15">
      <c r="E331" s="16"/>
      <c r="F331" s="18"/>
      <c r="G331" s="111"/>
    </row>
    <row r="332" spans="5:7" x14ac:dyDescent="0.15">
      <c r="E332" s="16"/>
      <c r="F332" s="18"/>
      <c r="G332" s="111"/>
    </row>
    <row r="333" spans="5:7" x14ac:dyDescent="0.15">
      <c r="E333" s="16"/>
      <c r="F333" s="18"/>
      <c r="G333" s="111"/>
    </row>
    <row r="334" spans="5:7" x14ac:dyDescent="0.15">
      <c r="E334" s="16"/>
      <c r="F334" s="18"/>
      <c r="G334" s="111"/>
    </row>
    <row r="335" spans="5:7" x14ac:dyDescent="0.15">
      <c r="E335" s="16"/>
      <c r="F335" s="18"/>
      <c r="G335" s="111"/>
    </row>
    <row r="336" spans="5:7" x14ac:dyDescent="0.15">
      <c r="E336" s="16"/>
      <c r="F336" s="18"/>
      <c r="G336" s="111"/>
    </row>
    <row r="337" spans="5:7" x14ac:dyDescent="0.15">
      <c r="E337" s="16"/>
      <c r="F337" s="18"/>
      <c r="G337" s="111"/>
    </row>
    <row r="338" spans="5:7" x14ac:dyDescent="0.15">
      <c r="E338" s="16"/>
      <c r="F338" s="18"/>
      <c r="G338" s="111"/>
    </row>
    <row r="339" spans="5:7" x14ac:dyDescent="0.15">
      <c r="E339" s="16"/>
      <c r="F339" s="18"/>
      <c r="G339" s="111"/>
    </row>
    <row r="340" spans="5:7" x14ac:dyDescent="0.15">
      <c r="E340" s="16"/>
      <c r="F340" s="18"/>
      <c r="G340" s="111"/>
    </row>
    <row r="341" spans="5:7" x14ac:dyDescent="0.15">
      <c r="E341" s="16"/>
      <c r="F341" s="18"/>
      <c r="G341" s="111"/>
    </row>
    <row r="342" spans="5:7" x14ac:dyDescent="0.15">
      <c r="E342" s="16"/>
      <c r="F342" s="18"/>
      <c r="G342" s="111"/>
    </row>
    <row r="343" spans="5:7" x14ac:dyDescent="0.15">
      <c r="E343" s="16"/>
      <c r="F343" s="18"/>
      <c r="G343" s="111"/>
    </row>
    <row r="344" spans="5:7" x14ac:dyDescent="0.15">
      <c r="E344" s="16"/>
      <c r="F344" s="18"/>
      <c r="G344" s="111"/>
    </row>
    <row r="345" spans="5:7" x14ac:dyDescent="0.15">
      <c r="E345" s="16"/>
      <c r="F345" s="18"/>
      <c r="G345" s="111"/>
    </row>
    <row r="346" spans="5:7" x14ac:dyDescent="0.15">
      <c r="E346" s="16"/>
      <c r="F346" s="18"/>
      <c r="G346" s="111"/>
    </row>
    <row r="347" spans="5:7" x14ac:dyDescent="0.15">
      <c r="E347" s="16"/>
      <c r="F347" s="18"/>
      <c r="G347" s="111"/>
    </row>
    <row r="348" spans="5:7" x14ac:dyDescent="0.15">
      <c r="E348" s="16"/>
      <c r="F348" s="18"/>
      <c r="G348" s="111"/>
    </row>
    <row r="349" spans="5:7" x14ac:dyDescent="0.15">
      <c r="E349" s="16"/>
      <c r="F349" s="18"/>
      <c r="G349" s="111"/>
    </row>
    <row r="350" spans="5:7" x14ac:dyDescent="0.15">
      <c r="E350" s="16"/>
      <c r="F350" s="18"/>
      <c r="G350" s="111"/>
    </row>
    <row r="351" spans="5:7" x14ac:dyDescent="0.15">
      <c r="E351" s="16"/>
      <c r="F351" s="18"/>
      <c r="G351" s="111"/>
    </row>
    <row r="352" spans="5:7" x14ac:dyDescent="0.15">
      <c r="E352" s="16"/>
      <c r="F352" s="18"/>
      <c r="G352" s="111"/>
    </row>
    <row r="353" spans="5:7" x14ac:dyDescent="0.15">
      <c r="E353" s="16"/>
      <c r="F353" s="18"/>
      <c r="G353" s="111"/>
    </row>
    <row r="354" spans="5:7" x14ac:dyDescent="0.15">
      <c r="E354" s="16"/>
      <c r="F354" s="18"/>
      <c r="G354" s="111"/>
    </row>
    <row r="355" spans="5:7" x14ac:dyDescent="0.15">
      <c r="E355" s="16"/>
      <c r="F355" s="18"/>
      <c r="G355" s="111"/>
    </row>
    <row r="356" spans="5:7" x14ac:dyDescent="0.15">
      <c r="E356" s="16"/>
      <c r="F356" s="18"/>
      <c r="G356" s="111"/>
    </row>
    <row r="357" spans="5:7" x14ac:dyDescent="0.15">
      <c r="E357" s="16"/>
      <c r="F357" s="18"/>
      <c r="G357" s="111"/>
    </row>
    <row r="358" spans="5:7" x14ac:dyDescent="0.15">
      <c r="E358" s="16"/>
      <c r="F358" s="18"/>
      <c r="G358" s="111"/>
    </row>
    <row r="359" spans="5:7" x14ac:dyDescent="0.15">
      <c r="E359" s="16"/>
      <c r="F359" s="18"/>
      <c r="G359" s="111"/>
    </row>
    <row r="360" spans="5:7" x14ac:dyDescent="0.15">
      <c r="E360" s="16"/>
      <c r="F360" s="18"/>
      <c r="G360" s="111"/>
    </row>
    <row r="361" spans="5:7" x14ac:dyDescent="0.15">
      <c r="E361" s="16"/>
      <c r="F361" s="18"/>
      <c r="G361" s="111"/>
    </row>
    <row r="362" spans="5:7" x14ac:dyDescent="0.15">
      <c r="E362" s="16"/>
      <c r="F362" s="18"/>
      <c r="G362" s="111"/>
    </row>
    <row r="363" spans="5:7" x14ac:dyDescent="0.15">
      <c r="E363" s="16"/>
      <c r="F363" s="18"/>
      <c r="G363" s="111"/>
    </row>
    <row r="364" spans="5:7" x14ac:dyDescent="0.15">
      <c r="E364" s="16"/>
      <c r="F364" s="18"/>
      <c r="G364" s="111"/>
    </row>
    <row r="365" spans="5:7" x14ac:dyDescent="0.15">
      <c r="E365" s="16"/>
      <c r="F365" s="18"/>
      <c r="G365" s="111"/>
    </row>
    <row r="366" spans="5:7" x14ac:dyDescent="0.15">
      <c r="E366" s="16"/>
      <c r="F366" s="18"/>
      <c r="G366" s="111"/>
    </row>
    <row r="367" spans="5:7" x14ac:dyDescent="0.15">
      <c r="E367" s="16"/>
      <c r="F367" s="18"/>
      <c r="G367" s="111"/>
    </row>
    <row r="368" spans="5:7" x14ac:dyDescent="0.15">
      <c r="E368" s="16"/>
      <c r="F368" s="18"/>
      <c r="G368" s="111"/>
    </row>
    <row r="369" spans="5:7" x14ac:dyDescent="0.15">
      <c r="E369" s="16"/>
      <c r="F369" s="18"/>
      <c r="G369" s="111"/>
    </row>
    <row r="370" spans="5:7" x14ac:dyDescent="0.15">
      <c r="E370" s="16"/>
      <c r="F370" s="18"/>
      <c r="G370" s="111"/>
    </row>
    <row r="371" spans="5:7" x14ac:dyDescent="0.15">
      <c r="E371" s="16"/>
      <c r="F371" s="18"/>
      <c r="G371" s="111"/>
    </row>
    <row r="372" spans="5:7" x14ac:dyDescent="0.15">
      <c r="E372" s="16"/>
      <c r="F372" s="18"/>
      <c r="G372" s="111"/>
    </row>
    <row r="373" spans="5:7" x14ac:dyDescent="0.15">
      <c r="E373" s="16"/>
      <c r="F373" s="18"/>
      <c r="G373" s="111"/>
    </row>
    <row r="374" spans="5:7" x14ac:dyDescent="0.15">
      <c r="E374" s="16"/>
      <c r="F374" s="18"/>
      <c r="G374" s="111"/>
    </row>
    <row r="375" spans="5:7" x14ac:dyDescent="0.15">
      <c r="E375" s="16"/>
      <c r="F375" s="18"/>
      <c r="G375" s="111"/>
    </row>
    <row r="376" spans="5:7" x14ac:dyDescent="0.15">
      <c r="E376" s="16"/>
      <c r="F376" s="18"/>
      <c r="G376" s="111"/>
    </row>
    <row r="377" spans="5:7" x14ac:dyDescent="0.15">
      <c r="E377" s="16"/>
      <c r="F377" s="18"/>
      <c r="G377" s="111"/>
    </row>
    <row r="378" spans="5:7" x14ac:dyDescent="0.15">
      <c r="E378" s="16"/>
      <c r="F378" s="18"/>
      <c r="G378" s="111"/>
    </row>
    <row r="379" spans="5:7" x14ac:dyDescent="0.15">
      <c r="E379" s="16"/>
      <c r="F379" s="18"/>
      <c r="G379" s="111"/>
    </row>
    <row r="380" spans="5:7" x14ac:dyDescent="0.15">
      <c r="E380" s="16"/>
      <c r="F380" s="18"/>
      <c r="G380" s="111"/>
    </row>
    <row r="381" spans="5:7" x14ac:dyDescent="0.15">
      <c r="E381" s="16"/>
      <c r="F381" s="18"/>
      <c r="G381" s="111"/>
    </row>
    <row r="382" spans="5:7" x14ac:dyDescent="0.15">
      <c r="E382" s="16"/>
      <c r="F382" s="18"/>
      <c r="G382" s="111"/>
    </row>
    <row r="383" spans="5:7" x14ac:dyDescent="0.15">
      <c r="E383" s="16"/>
      <c r="F383" s="18"/>
      <c r="G383" s="111"/>
    </row>
    <row r="384" spans="5:7" x14ac:dyDescent="0.15">
      <c r="E384" s="16"/>
      <c r="F384" s="18"/>
      <c r="G384" s="111"/>
    </row>
    <row r="385" spans="5:7" x14ac:dyDescent="0.15">
      <c r="E385" s="16"/>
      <c r="F385" s="18"/>
      <c r="G385" s="111"/>
    </row>
    <row r="386" spans="5:7" x14ac:dyDescent="0.15">
      <c r="E386" s="16"/>
      <c r="F386" s="18"/>
      <c r="G386" s="111"/>
    </row>
    <row r="387" spans="5:7" x14ac:dyDescent="0.15">
      <c r="E387" s="16"/>
      <c r="F387" s="18"/>
      <c r="G387" s="111"/>
    </row>
    <row r="388" spans="5:7" x14ac:dyDescent="0.15">
      <c r="E388" s="16"/>
      <c r="F388" s="18"/>
      <c r="G388" s="111"/>
    </row>
    <row r="389" spans="5:7" x14ac:dyDescent="0.15">
      <c r="E389" s="16"/>
      <c r="F389" s="18"/>
      <c r="G389" s="111"/>
    </row>
    <row r="390" spans="5:7" x14ac:dyDescent="0.15">
      <c r="E390" s="16"/>
      <c r="F390" s="18"/>
      <c r="G390" s="111"/>
    </row>
    <row r="391" spans="5:7" x14ac:dyDescent="0.15">
      <c r="E391" s="16"/>
      <c r="F391" s="18"/>
      <c r="G391" s="111"/>
    </row>
    <row r="392" spans="5:7" x14ac:dyDescent="0.15">
      <c r="E392" s="16"/>
      <c r="F392" s="18"/>
      <c r="G392" s="111"/>
    </row>
    <row r="393" spans="5:7" x14ac:dyDescent="0.15">
      <c r="E393" s="16"/>
      <c r="F393" s="18"/>
      <c r="G393" s="111"/>
    </row>
    <row r="394" spans="5:7" x14ac:dyDescent="0.15">
      <c r="E394" s="16"/>
      <c r="F394" s="18"/>
      <c r="G394" s="111"/>
    </row>
    <row r="395" spans="5:7" x14ac:dyDescent="0.15">
      <c r="E395" s="16"/>
      <c r="F395" s="18"/>
      <c r="G395" s="111"/>
    </row>
    <row r="396" spans="5:7" x14ac:dyDescent="0.15">
      <c r="E396" s="16"/>
      <c r="F396" s="18"/>
      <c r="G396" s="111"/>
    </row>
    <row r="397" spans="5:7" x14ac:dyDescent="0.15">
      <c r="E397" s="16"/>
      <c r="F397" s="18"/>
      <c r="G397" s="111"/>
    </row>
    <row r="398" spans="5:7" x14ac:dyDescent="0.15">
      <c r="E398" s="16"/>
      <c r="F398" s="18"/>
      <c r="G398" s="111"/>
    </row>
    <row r="399" spans="5:7" x14ac:dyDescent="0.15">
      <c r="E399" s="16"/>
      <c r="F399" s="18"/>
      <c r="G399" s="111"/>
    </row>
    <row r="400" spans="5:7" x14ac:dyDescent="0.15">
      <c r="E400" s="16"/>
      <c r="F400" s="18"/>
      <c r="G400" s="111"/>
    </row>
    <row r="401" spans="5:7" x14ac:dyDescent="0.15">
      <c r="E401" s="16"/>
      <c r="F401" s="18"/>
      <c r="G401" s="111"/>
    </row>
    <row r="402" spans="5:7" x14ac:dyDescent="0.15">
      <c r="E402" s="16"/>
      <c r="F402" s="18"/>
      <c r="G402" s="111"/>
    </row>
    <row r="403" spans="5:7" x14ac:dyDescent="0.15">
      <c r="E403" s="16"/>
      <c r="F403" s="18"/>
      <c r="G403" s="111"/>
    </row>
    <row r="404" spans="5:7" x14ac:dyDescent="0.15">
      <c r="E404" s="16"/>
      <c r="F404" s="18"/>
      <c r="G404" s="111"/>
    </row>
    <row r="405" spans="5:7" x14ac:dyDescent="0.15">
      <c r="E405" s="16"/>
      <c r="F405" s="18"/>
      <c r="G405" s="111"/>
    </row>
    <row r="406" spans="5:7" x14ac:dyDescent="0.15">
      <c r="E406" s="16"/>
      <c r="F406" s="18"/>
      <c r="G406" s="111"/>
    </row>
    <row r="407" spans="5:7" x14ac:dyDescent="0.15">
      <c r="E407" s="16"/>
      <c r="F407" s="18"/>
      <c r="G407" s="111"/>
    </row>
    <row r="408" spans="5:7" x14ac:dyDescent="0.15">
      <c r="E408" s="16"/>
      <c r="F408" s="18"/>
      <c r="G408" s="111"/>
    </row>
    <row r="409" spans="5:7" x14ac:dyDescent="0.15">
      <c r="E409" s="16"/>
      <c r="F409" s="18"/>
      <c r="G409" s="111"/>
    </row>
    <row r="410" spans="5:7" x14ac:dyDescent="0.15">
      <c r="E410" s="16"/>
      <c r="F410" s="18"/>
      <c r="G410" s="111"/>
    </row>
    <row r="411" spans="5:7" x14ac:dyDescent="0.15">
      <c r="E411" s="16"/>
      <c r="F411" s="18"/>
      <c r="G411" s="111"/>
    </row>
    <row r="412" spans="5:7" x14ac:dyDescent="0.15">
      <c r="E412" s="16"/>
      <c r="F412" s="18"/>
      <c r="G412" s="111"/>
    </row>
    <row r="413" spans="5:7" x14ac:dyDescent="0.15">
      <c r="E413" s="16"/>
      <c r="F413" s="18"/>
      <c r="G413" s="111"/>
    </row>
    <row r="414" spans="5:7" x14ac:dyDescent="0.15">
      <c r="E414" s="16"/>
      <c r="F414" s="18"/>
      <c r="G414" s="111"/>
    </row>
    <row r="415" spans="5:7" x14ac:dyDescent="0.15">
      <c r="E415" s="16"/>
      <c r="F415" s="18"/>
      <c r="G415" s="111"/>
    </row>
    <row r="416" spans="5:7" x14ac:dyDescent="0.15">
      <c r="E416" s="16"/>
      <c r="F416" s="18"/>
      <c r="G416" s="111"/>
    </row>
    <row r="417" spans="5:7" x14ac:dyDescent="0.15">
      <c r="E417" s="16"/>
      <c r="F417" s="18"/>
      <c r="G417" s="111"/>
    </row>
    <row r="418" spans="5:7" x14ac:dyDescent="0.15">
      <c r="E418" s="16"/>
      <c r="F418" s="18"/>
      <c r="G418" s="111"/>
    </row>
    <row r="419" spans="5:7" x14ac:dyDescent="0.15">
      <c r="E419" s="16"/>
      <c r="F419" s="18"/>
      <c r="G419" s="111"/>
    </row>
    <row r="420" spans="5:7" x14ac:dyDescent="0.15">
      <c r="E420" s="16"/>
      <c r="F420" s="18"/>
      <c r="G420" s="111"/>
    </row>
    <row r="421" spans="5:7" x14ac:dyDescent="0.15">
      <c r="E421" s="16"/>
      <c r="F421" s="18"/>
      <c r="G421" s="111"/>
    </row>
    <row r="422" spans="5:7" x14ac:dyDescent="0.15">
      <c r="E422" s="16"/>
      <c r="F422" s="18"/>
      <c r="G422" s="111"/>
    </row>
    <row r="423" spans="5:7" x14ac:dyDescent="0.15">
      <c r="E423" s="16"/>
      <c r="F423" s="18"/>
      <c r="G423" s="111"/>
    </row>
    <row r="424" spans="5:7" x14ac:dyDescent="0.15">
      <c r="E424" s="16"/>
      <c r="F424" s="18"/>
      <c r="G424" s="111"/>
    </row>
    <row r="425" spans="5:7" x14ac:dyDescent="0.15">
      <c r="E425" s="16"/>
      <c r="F425" s="18"/>
      <c r="G425" s="111"/>
    </row>
    <row r="426" spans="5:7" x14ac:dyDescent="0.15">
      <c r="E426" s="16"/>
      <c r="F426" s="18"/>
      <c r="G426" s="111"/>
    </row>
    <row r="427" spans="5:7" x14ac:dyDescent="0.15">
      <c r="E427" s="16"/>
      <c r="F427" s="18"/>
      <c r="G427" s="111"/>
    </row>
    <row r="428" spans="5:7" x14ac:dyDescent="0.15">
      <c r="E428" s="16"/>
      <c r="F428" s="18"/>
      <c r="G428" s="111"/>
    </row>
    <row r="429" spans="5:7" x14ac:dyDescent="0.15">
      <c r="E429" s="16"/>
      <c r="F429" s="18"/>
      <c r="G429" s="111"/>
    </row>
    <row r="430" spans="5:7" x14ac:dyDescent="0.15">
      <c r="E430" s="16"/>
      <c r="F430" s="18"/>
      <c r="G430" s="111"/>
    </row>
    <row r="431" spans="5:7" x14ac:dyDescent="0.15">
      <c r="E431" s="16"/>
      <c r="F431" s="18"/>
      <c r="G431" s="111"/>
    </row>
    <row r="432" spans="5:7" x14ac:dyDescent="0.15">
      <c r="E432" s="16"/>
      <c r="F432" s="18"/>
      <c r="G432" s="111"/>
    </row>
    <row r="433" spans="5:7" x14ac:dyDescent="0.15">
      <c r="E433" s="16"/>
      <c r="F433" s="18"/>
      <c r="G433" s="111"/>
    </row>
    <row r="434" spans="5:7" x14ac:dyDescent="0.15">
      <c r="E434" s="16"/>
      <c r="F434" s="18"/>
      <c r="G434" s="111"/>
    </row>
    <row r="435" spans="5:7" x14ac:dyDescent="0.15">
      <c r="E435" s="16"/>
      <c r="F435" s="18"/>
      <c r="G435" s="111"/>
    </row>
    <row r="436" spans="5:7" x14ac:dyDescent="0.15">
      <c r="E436" s="16"/>
      <c r="F436" s="18"/>
      <c r="G436" s="111"/>
    </row>
    <row r="437" spans="5:7" x14ac:dyDescent="0.15">
      <c r="E437" s="16"/>
      <c r="F437" s="18"/>
      <c r="G437" s="111"/>
    </row>
    <row r="438" spans="5:7" x14ac:dyDescent="0.15">
      <c r="E438" s="16"/>
      <c r="F438" s="18"/>
      <c r="G438" s="111"/>
    </row>
    <row r="439" spans="5:7" x14ac:dyDescent="0.15">
      <c r="E439" s="16"/>
      <c r="F439" s="18"/>
      <c r="G439" s="111"/>
    </row>
    <row r="440" spans="5:7" x14ac:dyDescent="0.15">
      <c r="E440" s="16"/>
      <c r="F440" s="18"/>
      <c r="G440" s="111"/>
    </row>
    <row r="441" spans="5:7" x14ac:dyDescent="0.15">
      <c r="E441" s="16"/>
      <c r="F441" s="18"/>
      <c r="G441" s="111"/>
    </row>
    <row r="442" spans="5:7" x14ac:dyDescent="0.15">
      <c r="E442" s="16"/>
      <c r="F442" s="18"/>
      <c r="G442" s="111"/>
    </row>
    <row r="443" spans="5:7" x14ac:dyDescent="0.15">
      <c r="E443" s="16"/>
      <c r="F443" s="18"/>
      <c r="G443" s="111"/>
    </row>
    <row r="444" spans="5:7" x14ac:dyDescent="0.15">
      <c r="E444" s="16"/>
      <c r="F444" s="18"/>
      <c r="G444" s="111"/>
    </row>
    <row r="445" spans="5:7" x14ac:dyDescent="0.15">
      <c r="E445" s="16"/>
      <c r="F445" s="18"/>
      <c r="G445" s="111"/>
    </row>
    <row r="446" spans="5:7" x14ac:dyDescent="0.15">
      <c r="E446" s="16"/>
      <c r="F446" s="18"/>
      <c r="G446" s="111"/>
    </row>
    <row r="447" spans="5:7" x14ac:dyDescent="0.15">
      <c r="E447" s="16"/>
      <c r="F447" s="18"/>
      <c r="G447" s="111"/>
    </row>
    <row r="448" spans="5:7" x14ac:dyDescent="0.15">
      <c r="E448" s="16"/>
      <c r="F448" s="18"/>
      <c r="G448" s="111"/>
    </row>
    <row r="449" spans="5:7" x14ac:dyDescent="0.15">
      <c r="E449" s="16"/>
      <c r="F449" s="18"/>
      <c r="G449" s="111"/>
    </row>
    <row r="450" spans="5:7" x14ac:dyDescent="0.15">
      <c r="E450" s="16"/>
      <c r="F450" s="18"/>
      <c r="G450" s="111"/>
    </row>
    <row r="451" spans="5:7" x14ac:dyDescent="0.15">
      <c r="E451" s="16"/>
      <c r="F451" s="18"/>
      <c r="G451" s="111"/>
    </row>
    <row r="452" spans="5:7" x14ac:dyDescent="0.15">
      <c r="E452" s="16"/>
      <c r="F452" s="18"/>
      <c r="G452" s="111"/>
    </row>
    <row r="453" spans="5:7" x14ac:dyDescent="0.15">
      <c r="E453" s="16"/>
      <c r="F453" s="18"/>
      <c r="G453" s="111"/>
    </row>
    <row r="454" spans="5:7" x14ac:dyDescent="0.15">
      <c r="E454" s="16"/>
      <c r="F454" s="18"/>
      <c r="G454" s="111"/>
    </row>
    <row r="455" spans="5:7" x14ac:dyDescent="0.15">
      <c r="E455" s="16"/>
      <c r="F455" s="18"/>
      <c r="G455" s="111"/>
    </row>
    <row r="456" spans="5:7" x14ac:dyDescent="0.15">
      <c r="E456" s="16"/>
      <c r="F456" s="18"/>
      <c r="G456" s="111"/>
    </row>
    <row r="457" spans="5:7" x14ac:dyDescent="0.15">
      <c r="E457" s="16"/>
      <c r="F457" s="18"/>
      <c r="G457" s="111"/>
    </row>
    <row r="458" spans="5:7" x14ac:dyDescent="0.15">
      <c r="E458" s="16"/>
      <c r="F458" s="18"/>
      <c r="G458" s="111"/>
    </row>
    <row r="459" spans="5:7" x14ac:dyDescent="0.15">
      <c r="E459" s="16"/>
      <c r="F459" s="18"/>
      <c r="G459" s="111"/>
    </row>
    <row r="460" spans="5:7" x14ac:dyDescent="0.15">
      <c r="E460" s="16"/>
      <c r="F460" s="18"/>
      <c r="G460" s="111"/>
    </row>
    <row r="461" spans="5:7" x14ac:dyDescent="0.15">
      <c r="E461" s="16"/>
      <c r="F461" s="18"/>
      <c r="G461" s="111"/>
    </row>
    <row r="462" spans="5:7" x14ac:dyDescent="0.15">
      <c r="E462" s="16"/>
      <c r="F462" s="18"/>
      <c r="G462" s="111"/>
    </row>
    <row r="463" spans="5:7" x14ac:dyDescent="0.15">
      <c r="E463" s="16"/>
      <c r="F463" s="18"/>
      <c r="G463" s="111"/>
    </row>
    <row r="464" spans="5:7" x14ac:dyDescent="0.15">
      <c r="E464" s="16"/>
      <c r="F464" s="18"/>
      <c r="G464" s="111"/>
    </row>
    <row r="465" spans="5:7" x14ac:dyDescent="0.15">
      <c r="E465" s="16"/>
      <c r="F465" s="18"/>
      <c r="G465" s="111"/>
    </row>
    <row r="466" spans="5:7" x14ac:dyDescent="0.15">
      <c r="E466" s="16"/>
      <c r="F466" s="18"/>
      <c r="G466" s="111"/>
    </row>
    <row r="467" spans="5:7" x14ac:dyDescent="0.15">
      <c r="E467" s="16"/>
      <c r="F467" s="18"/>
      <c r="G467" s="111"/>
    </row>
    <row r="468" spans="5:7" x14ac:dyDescent="0.15">
      <c r="E468" s="16"/>
      <c r="F468" s="18"/>
      <c r="G468" s="111"/>
    </row>
    <row r="469" spans="5:7" x14ac:dyDescent="0.15">
      <c r="E469" s="16"/>
      <c r="F469" s="18"/>
      <c r="G469" s="111"/>
    </row>
    <row r="470" spans="5:7" x14ac:dyDescent="0.15">
      <c r="E470" s="16"/>
      <c r="F470" s="18"/>
      <c r="G470" s="111"/>
    </row>
    <row r="471" spans="5:7" x14ac:dyDescent="0.15">
      <c r="E471" s="16"/>
      <c r="F471" s="18"/>
      <c r="G471" s="111"/>
    </row>
    <row r="472" spans="5:7" x14ac:dyDescent="0.15">
      <c r="E472" s="16"/>
      <c r="F472" s="18"/>
      <c r="G472" s="111"/>
    </row>
    <row r="473" spans="5:7" x14ac:dyDescent="0.15">
      <c r="E473" s="16"/>
      <c r="F473" s="18"/>
      <c r="G473" s="111"/>
    </row>
    <row r="474" spans="5:7" x14ac:dyDescent="0.15">
      <c r="E474" s="16"/>
      <c r="F474" s="18"/>
      <c r="G474" s="111"/>
    </row>
    <row r="475" spans="5:7" x14ac:dyDescent="0.15">
      <c r="E475" s="16"/>
      <c r="F475" s="18"/>
      <c r="G475" s="111"/>
    </row>
    <row r="476" spans="5:7" x14ac:dyDescent="0.15">
      <c r="E476" s="16"/>
      <c r="F476" s="18"/>
      <c r="G476" s="111"/>
    </row>
    <row r="477" spans="5:7" x14ac:dyDescent="0.15">
      <c r="E477" s="16"/>
      <c r="F477" s="18"/>
      <c r="G477" s="111"/>
    </row>
    <row r="478" spans="5:7" x14ac:dyDescent="0.15">
      <c r="E478" s="16"/>
      <c r="F478" s="18"/>
      <c r="G478" s="111"/>
    </row>
    <row r="479" spans="5:7" x14ac:dyDescent="0.15">
      <c r="E479" s="16"/>
      <c r="F479" s="18"/>
      <c r="G479" s="111"/>
    </row>
    <row r="480" spans="5:7" x14ac:dyDescent="0.15">
      <c r="E480" s="16"/>
      <c r="F480" s="18"/>
      <c r="G480" s="111"/>
    </row>
    <row r="481" spans="5:7" x14ac:dyDescent="0.15">
      <c r="E481" s="16"/>
      <c r="F481" s="18"/>
      <c r="G481" s="111"/>
    </row>
    <row r="482" spans="5:7" x14ac:dyDescent="0.15">
      <c r="E482" s="16"/>
      <c r="F482" s="18"/>
      <c r="G482" s="111"/>
    </row>
    <row r="483" spans="5:7" x14ac:dyDescent="0.15">
      <c r="E483" s="16"/>
      <c r="F483" s="18"/>
      <c r="G483" s="111"/>
    </row>
    <row r="484" spans="5:7" x14ac:dyDescent="0.15">
      <c r="E484" s="16"/>
      <c r="F484" s="18"/>
      <c r="G484" s="111"/>
    </row>
    <row r="485" spans="5:7" x14ac:dyDescent="0.15">
      <c r="E485" s="16"/>
      <c r="F485" s="18"/>
      <c r="G485" s="111"/>
    </row>
    <row r="486" spans="5:7" x14ac:dyDescent="0.15">
      <c r="E486" s="16"/>
      <c r="F486" s="18"/>
      <c r="G486" s="111"/>
    </row>
    <row r="487" spans="5:7" x14ac:dyDescent="0.15">
      <c r="E487" s="16"/>
      <c r="F487" s="18"/>
      <c r="G487" s="111"/>
    </row>
    <row r="488" spans="5:7" x14ac:dyDescent="0.15">
      <c r="E488" s="16"/>
      <c r="F488" s="18"/>
      <c r="G488" s="111"/>
    </row>
    <row r="489" spans="5:7" x14ac:dyDescent="0.15">
      <c r="E489" s="16"/>
      <c r="F489" s="18"/>
      <c r="G489" s="111"/>
    </row>
    <row r="490" spans="5:7" x14ac:dyDescent="0.15">
      <c r="E490" s="16"/>
      <c r="F490" s="18"/>
      <c r="G490" s="111"/>
    </row>
  </sheetData>
  <mergeCells count="70">
    <mergeCell ref="B76:D76"/>
    <mergeCell ref="B77:D77"/>
    <mergeCell ref="B78:D78"/>
    <mergeCell ref="B92:D92"/>
    <mergeCell ref="B93:D93"/>
    <mergeCell ref="B62:D62"/>
    <mergeCell ref="B72:D72"/>
    <mergeCell ref="B73:D73"/>
    <mergeCell ref="B74:D74"/>
    <mergeCell ref="B75:D75"/>
    <mergeCell ref="B57:D58"/>
    <mergeCell ref="E57:G57"/>
    <mergeCell ref="I57:I58"/>
    <mergeCell ref="B59:D59"/>
    <mergeCell ref="B60:D60"/>
    <mergeCell ref="B52:D52"/>
    <mergeCell ref="B53:D53"/>
    <mergeCell ref="B54:D54"/>
    <mergeCell ref="B55:D55"/>
    <mergeCell ref="B56:D56"/>
    <mergeCell ref="B48:D48"/>
    <mergeCell ref="B49:D50"/>
    <mergeCell ref="E49:G49"/>
    <mergeCell ref="I49:I50"/>
    <mergeCell ref="B51:D51"/>
    <mergeCell ref="E43:G43"/>
    <mergeCell ref="I43:I44"/>
    <mergeCell ref="B45:D45"/>
    <mergeCell ref="B46:D46"/>
    <mergeCell ref="B47:D47"/>
    <mergeCell ref="B39:D39"/>
    <mergeCell ref="B40:D40"/>
    <mergeCell ref="B41:D41"/>
    <mergeCell ref="B42:D42"/>
    <mergeCell ref="B43:D44"/>
    <mergeCell ref="B34:D34"/>
    <mergeCell ref="B35:D35"/>
    <mergeCell ref="B36:D36"/>
    <mergeCell ref="B37:D37"/>
    <mergeCell ref="B38:D38"/>
    <mergeCell ref="B29:D29"/>
    <mergeCell ref="B30:D30"/>
    <mergeCell ref="B31:D31"/>
    <mergeCell ref="B32:D32"/>
    <mergeCell ref="B33:D33"/>
    <mergeCell ref="B25:D25"/>
    <mergeCell ref="B26:D26"/>
    <mergeCell ref="B27:D28"/>
    <mergeCell ref="E27:G27"/>
    <mergeCell ref="I27:I28"/>
    <mergeCell ref="B20:D20"/>
    <mergeCell ref="B21:D21"/>
    <mergeCell ref="B22:D22"/>
    <mergeCell ref="B23:D23"/>
    <mergeCell ref="B24:D24"/>
    <mergeCell ref="B15:D15"/>
    <mergeCell ref="B16:D16"/>
    <mergeCell ref="B17:D17"/>
    <mergeCell ref="B18:D18"/>
    <mergeCell ref="B19:D19"/>
    <mergeCell ref="B10:D10"/>
    <mergeCell ref="B11:D11"/>
    <mergeCell ref="B12:D12"/>
    <mergeCell ref="B13:D13"/>
    <mergeCell ref="B14:D14"/>
    <mergeCell ref="B5:D6"/>
    <mergeCell ref="E5:G5"/>
    <mergeCell ref="I5:I6"/>
    <mergeCell ref="B8:D8"/>
    <mergeCell ref="B9:D9"/>
  </mergeCells>
  <printOptions horizontalCentered="1"/>
  <pageMargins left="0.25" right="0.25" top="0.5" bottom="0.65" header="0.25" footer="0.25"/>
  <pageSetup scale="90" orientation="landscape" horizontalDpi="300" verticalDpi="300"/>
  <headerFooter>
    <oddHeader>&amp;R&amp;8&amp;D</oddHeader>
    <oddFooter>&amp;R&amp;8&amp;P</oddFooter>
  </headerFooter>
</worksheet>
</file>

<file path=docProps/app.xml><?xml version="1.0" encoding="utf-8"?>
<Properties xmlns="http://schemas.openxmlformats.org/officeDocument/2006/extended-properties" xmlns:vt="http://schemas.openxmlformats.org/officeDocument/2006/docPropsVTypes">
  <Template/>
  <TotalTime>3</TotalTime>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FOOD</vt:lpstr>
      <vt:lpstr>BAR</vt:lpstr>
      <vt:lpstr>BAR!Print_Area</vt:lpstr>
      <vt:lpstr>FOOD!Print_Area</vt:lpstr>
      <vt:lpstr>BAR!Print_Titles</vt:lpstr>
      <vt:lpstr>FOOD!Print_Titles</vt:lpstr>
    </vt:vector>
  </TitlesOfParts>
  <Company>RestaurantOwner.com</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Food &amp; Beverage Inventory</dc:title>
  <dc:subject/>
  <dc:creator>Jim Laube</dc:creator>
  <dc:description>THE CONTENT IN THIS TEMPLATE IS THE INTELLECTUAL PROPERTY OF RESTAURANTOWNER.COM AND IS REGISTERED UNDER THE COPYRIGHT REGISTRATION NUMBER TXu 1-344-214 WITH THE UNITED STATES COPYRIGHT OFFICE PURSUANT TO TITLE 17 OF THE UNITED STATES CODE.  UNAUTHORIZED USE, DISTRIBUTION AND/OR PUBLICATION OF THIS MATERIAL CONSTITUTES COPYRIGHT INFRINGEMENT.  THE COPYRIGHT ACT (17 U.S.C. SECTION 101, et seq.) PROVIDES FOR THE IMPOSITION OF SIGNIFICANT LEGAL AND EQUITABLE REMEDIES AGAINST ANY PERSON WHO INFRINGES OR OTHERWISE VIOLATES ANY OF THE EXCLUSIVE RIGHTS OF A COPYRIGHT OWNER.
Copyright © 2014 by RestaurantOwner.com</dc:description>
  <cp:lastModifiedBy>Anderson Studebaker</cp:lastModifiedBy>
  <cp:revision>1</cp:revision>
  <cp:lastPrinted>2022-10-16T15:20:27Z</cp:lastPrinted>
  <dcterms:created xsi:type="dcterms:W3CDTF">2002-09-30T20:46:38Z</dcterms:created>
  <dcterms:modified xsi:type="dcterms:W3CDTF">2024-03-14T18:40:18Z</dcterms:modified>
  <cp:category>THE CONTENT IN THIS TEMPLATE IS THE INTELLECTUAL PROPERTY OF RESTAURANTOWNER.COM AND IS REGISTERED UNDER THE COPYRIGHT REGISTRATION NUMBER TXu 1-344-214 WITH THE UNITED STATES COPYRIGHT OFFICE PURSUANT TO TITLE 17 OF THE UNITED STATES CODE.  UNAUTHORIZED USE, DISTRIBUTION AND/OR PUBLICATION OF THIS MATERIAL CONSTITUTES COPYRIGHT INFRINGEMENT.  THE COPYRIGHT ACT (17 U.S.C. SECTION 101, et seq.) PROVIDES FOR THE IMPOSITION OF SIGNIFICANT LEGAL AND EQUITABLE REMEDIES AGAINST ANY PERSON WHO INFRINGES OR OTHERWISE VIOLATES ANY OF THE EXCLUSIVE RIGHTS OF A COPYRIGHT OWNER. Copyright © 2017-18 by RestaurantOwner.com</cp:category>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AdHocReviewCycleID">
    <vt:i4>2058542315</vt:i4>
  </property>
  <property fmtid="{D5CDD505-2E9C-101B-9397-08002B2CF9AE}" pid="3" name="_AuthorEmail">
    <vt:lpwstr>fna@pdq.net</vt:lpwstr>
  </property>
  <property fmtid="{D5CDD505-2E9C-101B-9397-08002B2CF9AE}" pid="4" name="_AuthorEmailDisplayName">
    <vt:lpwstr>Frank Audesirk</vt:lpwstr>
  </property>
  <property fmtid="{D5CDD505-2E9C-101B-9397-08002B2CF9AE}" pid="5" name="_EmailSubject">
    <vt:lpwstr>inventory</vt:lpwstr>
  </property>
  <property fmtid="{D5CDD505-2E9C-101B-9397-08002B2CF9AE}" pid="6" name="_ReviewingToolsShownOnce">
    <vt:lpwstr/>
  </property>
</Properties>
</file>