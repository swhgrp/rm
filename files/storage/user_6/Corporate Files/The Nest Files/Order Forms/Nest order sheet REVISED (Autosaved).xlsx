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docProps/custom.xml" ContentType="application/vnd.openxmlformats-officedocument.custom-propertie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7"/>
  <workbookPr/>
  <bookViews>
    <workbookView xWindow="0" yWindow="0" windowWidth="16380" windowHeight="8196" tabRatio="500"/>
  </bookViews>
  <sheets>
    <sheet name="FOOD" sheetId="1" r:id="rId1"/>
    <sheet name="BAR" sheetId="2" r:id="rId2"/>
  </sheets>
  <definedNames>
    <definedName name="_xlnm.Print_Area" localSheetId="1">BAR!$B$1:$L$102</definedName>
    <definedName name="_xlnm.Print_Area" localSheetId="0">FOOD!$C$1:$I$222</definedName>
    <definedName name="_xlnm.Print_Titles" localSheetId="1">BAR!$1:$6</definedName>
    <definedName name="_xlnm.Print_Titles" localSheetId="0">FOOD!$1:$6</definedName>
    <definedName name="selfish">FOOD!#REF!</definedName>
  </definedNames>
  <calcPr calcId="125725"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K93" i="2"/>
  <c r="I93"/>
  <c r="K92"/>
  <c r="I92"/>
  <c r="K78"/>
  <c r="I78"/>
  <c r="K77"/>
  <c r="I77"/>
  <c r="K76"/>
  <c r="I76"/>
  <c r="K75"/>
  <c r="I75"/>
  <c r="K74"/>
  <c r="I74"/>
  <c r="K73"/>
  <c r="I73"/>
  <c r="K72"/>
  <c r="I72"/>
  <c r="K62"/>
  <c r="L93" s="1"/>
  <c r="I62"/>
  <c r="K59"/>
  <c r="I59"/>
  <c r="K56"/>
  <c r="I56"/>
  <c r="I55"/>
  <c r="K55" s="1"/>
  <c r="K54"/>
  <c r="I54"/>
  <c r="I53"/>
  <c r="K53" s="1"/>
  <c r="K52"/>
  <c r="I52"/>
  <c r="I51"/>
  <c r="K51" s="1"/>
  <c r="L56" s="1"/>
  <c r="K48"/>
  <c r="I48"/>
  <c r="K47"/>
  <c r="I47"/>
  <c r="K46"/>
  <c r="I46"/>
  <c r="K45"/>
  <c r="L48" s="1"/>
  <c r="I45"/>
  <c r="I42"/>
  <c r="K42" s="1"/>
  <c r="K41"/>
  <c r="I41"/>
  <c r="I40"/>
  <c r="K40" s="1"/>
  <c r="K39"/>
  <c r="I39"/>
  <c r="I38"/>
  <c r="K38" s="1"/>
  <c r="K37"/>
  <c r="I37"/>
  <c r="I36"/>
  <c r="K36" s="1"/>
  <c r="K35"/>
  <c r="I35"/>
  <c r="I34"/>
  <c r="K34" s="1"/>
  <c r="K33"/>
  <c r="I33"/>
  <c r="I32"/>
  <c r="K32" s="1"/>
  <c r="K31"/>
  <c r="I31"/>
  <c r="I30"/>
  <c r="K30" s="1"/>
  <c r="K29"/>
  <c r="I29"/>
  <c r="K26"/>
  <c r="I26"/>
  <c r="K25"/>
  <c r="I25"/>
  <c r="K24"/>
  <c r="I24"/>
  <c r="K23"/>
  <c r="I23"/>
  <c r="K22"/>
  <c r="I22"/>
  <c r="K21"/>
  <c r="I21"/>
  <c r="K20"/>
  <c r="I20"/>
  <c r="K19"/>
  <c r="I19"/>
  <c r="K18"/>
  <c r="I18"/>
  <c r="K17"/>
  <c r="I17"/>
  <c r="K16"/>
  <c r="I16"/>
  <c r="K15"/>
  <c r="I15"/>
  <c r="K14"/>
  <c r="I14"/>
  <c r="K13"/>
  <c r="I13"/>
  <c r="K12"/>
  <c r="I12"/>
  <c r="K11"/>
  <c r="I11"/>
  <c r="K10"/>
  <c r="I10"/>
  <c r="K9"/>
  <c r="I9"/>
  <c r="K8"/>
  <c r="L26" s="1"/>
  <c r="I8"/>
  <c r="B1"/>
  <c r="M199" i="1"/>
  <c r="N199" s="1"/>
  <c r="N194"/>
  <c r="M194"/>
  <c r="M193"/>
  <c r="N193" s="1"/>
  <c r="N192"/>
  <c r="M192"/>
  <c r="M191"/>
  <c r="N191" s="1"/>
  <c r="N190"/>
  <c r="M190"/>
  <c r="M189"/>
  <c r="N189" s="1"/>
  <c r="N188"/>
  <c r="M188"/>
  <c r="M187"/>
  <c r="N187" s="1"/>
  <c r="N186"/>
  <c r="M186"/>
  <c r="M185"/>
  <c r="N185" s="1"/>
  <c r="N183"/>
  <c r="M183"/>
  <c r="M181"/>
  <c r="N181" s="1"/>
  <c r="N176"/>
  <c r="M176"/>
  <c r="M175"/>
  <c r="N175" s="1"/>
  <c r="N174"/>
  <c r="M174"/>
  <c r="M169"/>
  <c r="N169" s="1"/>
  <c r="N131"/>
  <c r="M131"/>
  <c r="M130"/>
  <c r="N130" s="1"/>
  <c r="N125"/>
  <c r="M125"/>
  <c r="M124"/>
  <c r="N124" s="1"/>
  <c r="N123"/>
  <c r="M123"/>
  <c r="M122"/>
  <c r="N122" s="1"/>
  <c r="N121"/>
  <c r="M121"/>
  <c r="M120"/>
  <c r="N120" s="1"/>
  <c r="N119"/>
  <c r="M119"/>
  <c r="M118"/>
  <c r="N118" s="1"/>
  <c r="N117"/>
  <c r="M117"/>
  <c r="M116"/>
  <c r="N116" s="1"/>
  <c r="N108"/>
  <c r="M108"/>
  <c r="M107"/>
  <c r="N107" s="1"/>
  <c r="N106"/>
  <c r="M106"/>
  <c r="M105"/>
  <c r="N105" s="1"/>
  <c r="N104"/>
  <c r="M104"/>
  <c r="M103"/>
  <c r="N103" s="1"/>
  <c r="N102"/>
  <c r="M102"/>
  <c r="M101"/>
  <c r="N101" s="1"/>
  <c r="N100"/>
  <c r="M100"/>
  <c r="M99"/>
  <c r="N99" s="1"/>
  <c r="N98"/>
  <c r="M98"/>
  <c r="M84"/>
  <c r="N84" s="1"/>
  <c r="N82"/>
  <c r="M82"/>
  <c r="M81"/>
  <c r="N81" s="1"/>
  <c r="N80"/>
  <c r="M80"/>
  <c r="M79"/>
  <c r="N79" s="1"/>
  <c r="N78"/>
  <c r="M78"/>
  <c r="M77"/>
  <c r="N77" s="1"/>
  <c r="N76"/>
  <c r="M76"/>
  <c r="M50"/>
  <c r="N50" s="1"/>
  <c r="N49"/>
  <c r="M49"/>
  <c r="M48"/>
  <c r="N48" s="1"/>
  <c r="N47"/>
  <c r="M47"/>
  <c r="M46"/>
  <c r="N46" s="1"/>
  <c r="N39"/>
  <c r="M39"/>
  <c r="M38"/>
  <c r="N38" s="1"/>
  <c r="N37"/>
  <c r="M37"/>
  <c r="M36"/>
  <c r="N36" s="1"/>
  <c r="N35"/>
  <c r="M35"/>
  <c r="M34"/>
  <c r="N34" s="1"/>
  <c r="N33"/>
  <c r="M33"/>
  <c r="M32"/>
  <c r="N32" s="1"/>
  <c r="N31"/>
  <c r="M31"/>
  <c r="M30"/>
  <c r="N30" s="1"/>
  <c r="N29"/>
  <c r="M29"/>
  <c r="M28"/>
  <c r="N28" s="1"/>
  <c r="N27"/>
  <c r="M27"/>
  <c r="M26"/>
  <c r="N26" s="1"/>
  <c r="N25"/>
  <c r="M25"/>
  <c r="M24"/>
  <c r="N24" s="1"/>
  <c r="N23"/>
  <c r="M23"/>
  <c r="M18"/>
  <c r="N18" s="1"/>
  <c r="N17"/>
  <c r="M17"/>
  <c r="M16"/>
  <c r="N16" s="1"/>
  <c r="N15"/>
  <c r="M15"/>
  <c r="M14"/>
  <c r="N14" s="1"/>
  <c r="N13"/>
  <c r="M13"/>
  <c r="M12"/>
  <c r="N12" s="1"/>
  <c r="N11"/>
  <c r="M11"/>
  <c r="M10"/>
  <c r="N10" s="1"/>
  <c r="N9"/>
  <c r="M9"/>
  <c r="M8"/>
  <c r="N8" s="1"/>
  <c r="L94" i="2" l="1"/>
  <c r="L42"/>
  <c r="K94"/>
</calcChain>
</file>

<file path=xl/comments1.xml><?xml version="1.0" encoding="utf-8"?>
<comments xmlns="http://schemas.openxmlformats.org/spreadsheetml/2006/main">
  <authors>
    <author>Jim Laube</author>
  </authors>
  <commentList>
    <comment ref="E5" authorId="0">
      <text>
        <r>
          <rPr>
            <sz val="10"/>
            <rFont val="Calibri"/>
            <family val="2"/>
          </rPr>
          <t xml:space="preserve">Order Unit is the unit each item unit type to order each product. For example, bottle, case, pound, lug, flat, etc.
</t>
        </r>
      </text>
    </comment>
    <comment ref="G5" authorId="0">
      <text>
        <r>
          <rPr>
            <sz val="10"/>
            <rFont val="Calibri"/>
            <family val="2"/>
          </rPr>
          <t xml:space="preserve">Order to Inventory is used to convert each product Order Unit price to the Inventory Unit price.
</t>
        </r>
        <r>
          <rPr>
            <b/>
            <sz val="10"/>
            <color rgb="FF000000"/>
            <rFont val="Tahoma"/>
            <family val="2"/>
            <charset val="1"/>
          </rPr>
          <t xml:space="preserve">
If the Order &amp; Inventory units are the same, this factor is 1.0. 
If there are 12 Inventory Units in the Order Unit, then this factor is 12.</t>
        </r>
      </text>
    </comment>
    <comment ref="H5" authorId="0">
      <text>
        <r>
          <rPr>
            <sz val="10"/>
            <rFont val="Calibri"/>
            <family val="2"/>
          </rPr>
          <t>Inventory unit is the unit type used when you count each item during the physical inventory. For example; bottle, can, case, jar, etc.</t>
        </r>
      </text>
    </comment>
    <comment ref="J5" authorId="0">
      <text>
        <r>
          <rPr>
            <sz val="10"/>
            <rFont val="Calibri"/>
            <family val="2"/>
          </rPr>
          <t>Enter the number of Inventory Units counted in all storage locations for each product.</t>
        </r>
      </text>
    </comment>
    <comment ref="K5" authorId="0">
      <text>
        <r>
          <rPr>
            <sz val="10"/>
            <rFont val="Calibri"/>
            <family val="2"/>
          </rPr>
          <t xml:space="preserve">Extension is "Inventory Unit" price times the "Count". 
</t>
        </r>
      </text>
    </comment>
    <comment ref="E27" authorId="0">
      <text>
        <r>
          <rPr>
            <sz val="10"/>
            <rFont val="Calibri"/>
            <family val="2"/>
          </rPr>
          <t xml:space="preserve">Order Unit is the unit each item unit type to order each product. For example, bottle, case, pound, lug, flat, etc.
</t>
        </r>
      </text>
    </comment>
    <comment ref="G27" authorId="0">
      <text>
        <r>
          <rPr>
            <sz val="10"/>
            <rFont val="Calibri"/>
            <family val="2"/>
          </rPr>
          <t>Order to Inventory is used to convert each product Order Unit price to the Inventory Unit price.
If the Order &amp; Inventory units are the same, this factor is 1.0. 
If there are 12 Inventory Units in the Order Unit, then this factor is 12.</t>
        </r>
      </text>
    </comment>
    <comment ref="H27" authorId="0">
      <text>
        <r>
          <rPr>
            <sz val="10"/>
            <rFont val="Calibri"/>
            <family val="2"/>
          </rPr>
          <t>Inventory unit is the unit type used when you count each item during the physical inventory. For example; bottle, can, case, jar, etc.</t>
        </r>
      </text>
    </comment>
    <comment ref="J27" authorId="0">
      <text>
        <r>
          <rPr>
            <sz val="10"/>
            <rFont val="Calibri"/>
            <family val="2"/>
          </rPr>
          <t>Enter the number of Inventory Units counted in all storage locations for each product.</t>
        </r>
      </text>
    </comment>
    <comment ref="K27" authorId="0">
      <text>
        <r>
          <rPr>
            <sz val="10"/>
            <rFont val="Calibri"/>
            <family val="2"/>
          </rPr>
          <t xml:space="preserve">Extension is "Inventory Unit" price times the "Count". 
</t>
        </r>
      </text>
    </comment>
    <comment ref="E43" authorId="0">
      <text>
        <r>
          <rPr>
            <sz val="10"/>
            <rFont val="Calibri"/>
            <family val="2"/>
          </rPr>
          <t xml:space="preserve">Order Unit is the unit each item unit type to order each product. For example, bottle, case, pound, lug, flat, etc.
</t>
        </r>
      </text>
    </comment>
    <comment ref="G43" authorId="0">
      <text>
        <r>
          <rPr>
            <sz val="10"/>
            <rFont val="Calibri"/>
            <family val="2"/>
          </rPr>
          <t>Order to Inventory is used to convert each product Order Unit price to the Inventory Unit price.
If the Order &amp; Inventory units are the same, this factor is 1.0. 
If there are 12 Inventory Units in the Order Unit, then this factor is 12.</t>
        </r>
      </text>
    </comment>
    <comment ref="H43" authorId="0">
      <text>
        <r>
          <rPr>
            <sz val="10"/>
            <rFont val="Calibri"/>
            <family val="2"/>
          </rPr>
          <t>Inventory unit is the unit type used when you count each item during the physical inventory. For example; bottle, can, case, jar, etc.</t>
        </r>
      </text>
    </comment>
    <comment ref="J43" authorId="0">
      <text>
        <r>
          <rPr>
            <sz val="10"/>
            <rFont val="Calibri"/>
            <family val="2"/>
          </rPr>
          <t>Enter the number of Inventory Units counted in all storage locations for each product.</t>
        </r>
      </text>
    </comment>
    <comment ref="K43" authorId="0">
      <text>
        <r>
          <rPr>
            <sz val="10"/>
            <rFont val="Calibri"/>
            <family val="2"/>
          </rPr>
          <t xml:space="preserve">Extension is "Inventory Unit" price times the "Count". 
</t>
        </r>
      </text>
    </comment>
    <comment ref="E49" authorId="0">
      <text>
        <r>
          <rPr>
            <sz val="10"/>
            <rFont val="Calibri"/>
            <family val="2"/>
          </rPr>
          <t xml:space="preserve">Order Unit is the unit each item unit type to order each product. For example, bottle, case, pound, lug, flat, etc.
</t>
        </r>
      </text>
    </comment>
    <comment ref="G49" authorId="0">
      <text>
        <r>
          <rPr>
            <sz val="10"/>
            <rFont val="Calibri"/>
            <family val="2"/>
          </rPr>
          <t>Order to Inventory is used to convert each product Order Unit price to the Inventory Unit price.
If the Order &amp; Inventory units are the same, this factor is 1.0. 
If there are 12 Inventory Units in the Order Unit, then this factor is 12.</t>
        </r>
      </text>
    </comment>
    <comment ref="H49" authorId="0">
      <text>
        <r>
          <rPr>
            <sz val="10"/>
            <rFont val="Calibri"/>
            <family val="2"/>
          </rPr>
          <t>Inventory unit is the unit type used when you count each item during the physical inventory. For example; bottle, can, case, jar, etc.</t>
        </r>
      </text>
    </comment>
    <comment ref="J49" authorId="0">
      <text>
        <r>
          <rPr>
            <sz val="10"/>
            <rFont val="Calibri"/>
            <family val="2"/>
          </rPr>
          <t>Enter the number of Inventory Units counted in all storage locations for each product.</t>
        </r>
      </text>
    </comment>
    <comment ref="K49" authorId="0">
      <text>
        <r>
          <rPr>
            <sz val="10"/>
            <rFont val="Calibri"/>
            <family val="2"/>
          </rPr>
          <t xml:space="preserve">Extension is "Inventory Unit" price times the "Count". 
</t>
        </r>
      </text>
    </comment>
    <comment ref="E57" authorId="0">
      <text>
        <r>
          <rPr>
            <sz val="10"/>
            <rFont val="Calibri"/>
            <family val="2"/>
          </rPr>
          <t xml:space="preserve">Order Unit is the unit each item unit type to order each product. For example, bottle, case, pound, lug, flat, etc.
</t>
        </r>
      </text>
    </comment>
    <comment ref="G57" authorId="0">
      <text>
        <r>
          <rPr>
            <sz val="10"/>
            <rFont val="Calibri"/>
            <family val="2"/>
          </rPr>
          <t>Order to Inventory is used to convert each product Order Unit price to the Inventory Unit price.
If the Order &amp; Inventory units are the same, this factor is 1.0. 
If there are 12 Inventory Units in the Order Unit, then this factor is 12.</t>
        </r>
      </text>
    </comment>
    <comment ref="H57" authorId="0">
      <text>
        <r>
          <rPr>
            <sz val="10"/>
            <rFont val="Calibri"/>
            <family val="2"/>
          </rPr>
          <t>Inventory unit is the unit type used when you count each item during the physical inventory. For example; bottle, can, case, jar, etc.</t>
        </r>
      </text>
    </comment>
    <comment ref="J57" authorId="0">
      <text>
        <r>
          <rPr>
            <sz val="10"/>
            <rFont val="Calibri"/>
            <family val="2"/>
          </rPr>
          <t>Enter the number of Inventory Units counted in all storage locations for each product.</t>
        </r>
      </text>
    </comment>
    <comment ref="K57" authorId="0">
      <text>
        <r>
          <rPr>
            <sz val="10"/>
            <rFont val="Calibri"/>
            <family val="2"/>
          </rPr>
          <t xml:space="preserve">Extension is "Inventory Unit" price times the "Count". 
</t>
        </r>
      </text>
    </comment>
  </commentList>
</comments>
</file>

<file path=xl/sharedStrings.xml><?xml version="1.0" encoding="utf-8"?>
<sst xmlns="http://schemas.openxmlformats.org/spreadsheetml/2006/main" count="930" uniqueCount="344">
  <si>
    <t xml:space="preserve">THE NEST </t>
  </si>
  <si>
    <t>Food Order Sheet</t>
  </si>
  <si>
    <t xml:space="preserve"> </t>
  </si>
  <si>
    <t>ITEM DESCRIPTIONS</t>
  </si>
  <si>
    <t>DISTRUBUTOR</t>
  </si>
  <si>
    <t>UNITS</t>
  </si>
  <si>
    <t>ON HAND</t>
  </si>
  <si>
    <t>PAR</t>
  </si>
  <si>
    <t>TO ORDER</t>
  </si>
  <si>
    <t>Lowest Price</t>
  </si>
  <si>
    <t>MEAT</t>
  </si>
  <si>
    <t>BJs</t>
  </si>
  <si>
    <t>Sams</t>
  </si>
  <si>
    <t>GFS</t>
  </si>
  <si>
    <t>Price</t>
  </si>
  <si>
    <t>Per Unit</t>
  </si>
  <si>
    <t>Turkey</t>
  </si>
  <si>
    <t>Ham</t>
  </si>
  <si>
    <t>Salami</t>
  </si>
  <si>
    <t>Cappacola</t>
  </si>
  <si>
    <t>Cuban Meat</t>
  </si>
  <si>
    <t>Flap Steak</t>
  </si>
  <si>
    <t>Hot Dogs</t>
  </si>
  <si>
    <t>Shrimp 16/20</t>
  </si>
  <si>
    <t>Bacon</t>
  </si>
  <si>
    <t>Burger patty</t>
  </si>
  <si>
    <t>Slider meat</t>
  </si>
  <si>
    <t xml:space="preserve">Smash </t>
  </si>
  <si>
    <t>PhillySteak</t>
  </si>
  <si>
    <t xml:space="preserve">Sausage patties </t>
  </si>
  <si>
    <t xml:space="preserve">Pork Belly </t>
  </si>
  <si>
    <t xml:space="preserve">       GFS</t>
  </si>
  <si>
    <t>SNACKS</t>
  </si>
  <si>
    <t>Brownies</t>
  </si>
  <si>
    <t>Vickie's Sea Salt</t>
  </si>
  <si>
    <t>Vickie's Salt &amp; Vinegar</t>
  </si>
  <si>
    <t>Vickie's BBQ</t>
  </si>
  <si>
    <t>Vickie's Jalapeno</t>
  </si>
  <si>
    <t>Unsweet Tea</t>
  </si>
  <si>
    <t>Strawberry Dragonfruit</t>
  </si>
  <si>
    <t>Sweet Tea</t>
  </si>
  <si>
    <t>Lemonade</t>
  </si>
  <si>
    <t>POULTRY</t>
  </si>
  <si>
    <t>UNIT</t>
  </si>
  <si>
    <t>Chicken Wings</t>
  </si>
  <si>
    <t>Chicken Breast</t>
  </si>
  <si>
    <t>Chicken Tenderloins</t>
  </si>
  <si>
    <t>Chicken Fritters</t>
  </si>
  <si>
    <t xml:space="preserve">Eggs </t>
  </si>
  <si>
    <t xml:space="preserve">Coconut shrimp </t>
  </si>
  <si>
    <t xml:space="preserve">Grouper </t>
  </si>
  <si>
    <t>PRODUCE</t>
  </si>
  <si>
    <t>Lettuce</t>
  </si>
  <si>
    <t>Red Onion</t>
  </si>
  <si>
    <t>Tomatoes</t>
  </si>
  <si>
    <t>Cilantro</t>
  </si>
  <si>
    <t>White Onion</t>
  </si>
  <si>
    <t>Avocado</t>
  </si>
  <si>
    <t>Jalapeno</t>
  </si>
  <si>
    <t>Garlic Cloves</t>
  </si>
  <si>
    <t xml:space="preserve">cucumber </t>
  </si>
  <si>
    <t xml:space="preserve">Sun - Dried tomatoes </t>
  </si>
  <si>
    <t>Celery</t>
  </si>
  <si>
    <t xml:space="preserve">Lime </t>
  </si>
  <si>
    <t>Watermelon</t>
  </si>
  <si>
    <t>Cole Slaw</t>
  </si>
  <si>
    <t>Bell Pepper</t>
  </si>
  <si>
    <t xml:space="preserve">Mix Veggies </t>
  </si>
  <si>
    <t xml:space="preserve">Cherry Tomatoes </t>
  </si>
  <si>
    <t xml:space="preserve">Blueberry </t>
  </si>
  <si>
    <t xml:space="preserve">Lemon </t>
  </si>
  <si>
    <t xml:space="preserve">Broccoli </t>
  </si>
  <si>
    <t xml:space="preserve">Potatoes </t>
  </si>
  <si>
    <t xml:space="preserve">Mango </t>
  </si>
  <si>
    <t>Spinach</t>
  </si>
  <si>
    <t>DAIRY</t>
  </si>
  <si>
    <t>Cheddar</t>
  </si>
  <si>
    <t>Swiss</t>
  </si>
  <si>
    <t>Provolone</t>
  </si>
  <si>
    <t>Feta Cheese</t>
  </si>
  <si>
    <t>Shredded Mozzarella Cheese</t>
  </si>
  <si>
    <t>Blue Cheese Crumble</t>
  </si>
  <si>
    <t>Heavy Cream</t>
  </si>
  <si>
    <t>Mexican Blend Cheese</t>
  </si>
  <si>
    <t>Parmesan Cheese</t>
  </si>
  <si>
    <t xml:space="preserve">Diced potatoes </t>
  </si>
  <si>
    <t xml:space="preserve">Hash Brown </t>
  </si>
  <si>
    <t xml:space="preserve">Passion Fruit </t>
  </si>
  <si>
    <t xml:space="preserve">Alfredo sauce </t>
  </si>
  <si>
    <t>Ice Cream</t>
  </si>
  <si>
    <t>Sour Cream</t>
  </si>
  <si>
    <t xml:space="preserve"> GFS</t>
  </si>
  <si>
    <t>BAKERY</t>
  </si>
  <si>
    <t>Wheat Bread</t>
  </si>
  <si>
    <t>High Crown</t>
  </si>
  <si>
    <t xml:space="preserve">      GFS </t>
  </si>
  <si>
    <t>Hot Dog Buns</t>
  </si>
  <si>
    <t>spinach wrap</t>
  </si>
  <si>
    <t>Bagels</t>
  </si>
  <si>
    <t>Quesadilla Wraps</t>
  </si>
  <si>
    <t>Brioche Bun</t>
  </si>
  <si>
    <t xml:space="preserve">Skin eggroll </t>
  </si>
  <si>
    <t xml:space="preserve">Sourdogh bread </t>
  </si>
  <si>
    <t xml:space="preserve">French bread </t>
  </si>
  <si>
    <t xml:space="preserve">Tortilla Flour 4.5" Tacos </t>
  </si>
  <si>
    <t xml:space="preserve">GFS </t>
  </si>
  <si>
    <t xml:space="preserve">English muffing </t>
  </si>
  <si>
    <t xml:space="preserve">Mini brioche bun </t>
  </si>
  <si>
    <t>GROCERY/DRY GOODS</t>
  </si>
  <si>
    <t xml:space="preserve">Beef base </t>
  </si>
  <si>
    <t xml:space="preserve">Film roll </t>
  </si>
  <si>
    <t xml:space="preserve">Vanilla Imitation </t>
  </si>
  <si>
    <t>Ketchup #10 Jug</t>
  </si>
  <si>
    <t>Mayo 1gal</t>
  </si>
  <si>
    <t xml:space="preserve">Syrup </t>
  </si>
  <si>
    <t xml:space="preserve">       GFS </t>
  </si>
  <si>
    <t xml:space="preserve">Garlic parmesan </t>
  </si>
  <si>
    <t xml:space="preserve">Dijon Mustard </t>
  </si>
  <si>
    <t>Yellow Mustard</t>
  </si>
  <si>
    <t>Honey Mustard</t>
  </si>
  <si>
    <t>Olive Oil</t>
  </si>
  <si>
    <t xml:space="preserve">Sweet chili </t>
  </si>
  <si>
    <t>BBQ Sauce</t>
  </si>
  <si>
    <t>Cumin</t>
  </si>
  <si>
    <t>Ranch Powder</t>
  </si>
  <si>
    <t>Franks Hot Sauce</t>
  </si>
  <si>
    <t>Chipotle Pepper</t>
  </si>
  <si>
    <t>Cajun Seasoning</t>
  </si>
  <si>
    <t>Red Wine Vinegar</t>
  </si>
  <si>
    <t xml:space="preserve">Fettuccine Pasta </t>
  </si>
  <si>
    <t>Granulated Sugar</t>
  </si>
  <si>
    <t>Brown Sugar</t>
  </si>
  <si>
    <t>Flour</t>
  </si>
  <si>
    <t>Lemon Pepper Seasoning</t>
  </si>
  <si>
    <t>Paprika</t>
  </si>
  <si>
    <t>Cayenne</t>
  </si>
  <si>
    <t>Ground Black Pepper</t>
  </si>
  <si>
    <t>Worstershire Sauce</t>
  </si>
  <si>
    <t>Kosher Salt</t>
  </si>
  <si>
    <t>Granulated Garlic</t>
  </si>
  <si>
    <t>Blue Cheese Powder</t>
  </si>
  <si>
    <t>Teriyaki Sauce</t>
  </si>
  <si>
    <t xml:space="preserve">pickles </t>
  </si>
  <si>
    <t xml:space="preserve">Kalamata Olives </t>
  </si>
  <si>
    <t>Dry Oregano</t>
  </si>
  <si>
    <t>Balsamic Dressing</t>
  </si>
  <si>
    <t>Caesar Dressing</t>
  </si>
  <si>
    <t>French Fries</t>
  </si>
  <si>
    <t>XLG Gloves</t>
  </si>
  <si>
    <t>Aluminum Foil Sheets 17x10</t>
  </si>
  <si>
    <t>White Wine Vinegar</t>
  </si>
  <si>
    <t xml:space="preserve">Penne Pasta </t>
  </si>
  <si>
    <t xml:space="preserve">Label Dissolvable </t>
  </si>
  <si>
    <t>Hairnets</t>
  </si>
  <si>
    <t xml:space="preserve">Liquid Butter </t>
  </si>
  <si>
    <t xml:space="preserve">Handy Wacks 12in x 10 3/4 in </t>
  </si>
  <si>
    <t xml:space="preserve">Handy Wacks 8in x 10 3/4 in </t>
  </si>
  <si>
    <t xml:space="preserve">variety chips </t>
  </si>
  <si>
    <t xml:space="preserve">Honey  </t>
  </si>
  <si>
    <t xml:space="preserve">Frying shortening </t>
  </si>
  <si>
    <t xml:space="preserve">      GFS</t>
  </si>
  <si>
    <t xml:space="preserve">Lemon Juice </t>
  </si>
  <si>
    <t xml:space="preserve">Fish fry seasoning </t>
  </si>
  <si>
    <t xml:space="preserve">     GFS</t>
  </si>
  <si>
    <t xml:space="preserve">Pancake mix </t>
  </si>
  <si>
    <t xml:space="preserve">bags portion </t>
  </si>
  <si>
    <t>PAPER  AND CONSUMABLES</t>
  </si>
  <si>
    <t>Clamshells</t>
  </si>
  <si>
    <t>Coffee</t>
  </si>
  <si>
    <t>Plastic Bags</t>
  </si>
  <si>
    <t>Bamboo</t>
  </si>
  <si>
    <t>To Go Box 8x8x5</t>
  </si>
  <si>
    <t xml:space="preserve">16 oz cups </t>
  </si>
  <si>
    <t xml:space="preserve">16 oz lids </t>
  </si>
  <si>
    <t>Napkins Silverware</t>
  </si>
  <si>
    <t>Napkins Dispenser</t>
  </si>
  <si>
    <t xml:space="preserve">Crystal Dry Rinse aid </t>
  </si>
  <si>
    <t>Stainless Steel polish</t>
  </si>
  <si>
    <t>Toilet Paper</t>
  </si>
  <si>
    <t>Paper Towels</t>
  </si>
  <si>
    <t xml:space="preserve">Sponges scrub </t>
  </si>
  <si>
    <t xml:space="preserve">Pot and Pan detergent </t>
  </si>
  <si>
    <t>Trash Bags</t>
  </si>
  <si>
    <t xml:space="preserve">Dishwasher Detergent powdered </t>
  </si>
  <si>
    <t>Sanitizer</t>
  </si>
  <si>
    <t>Bleach</t>
  </si>
  <si>
    <t xml:space="preserve">Degrease  </t>
  </si>
  <si>
    <t xml:space="preserve">Mop Head </t>
  </si>
  <si>
    <t xml:space="preserve">5.5oz clear lids </t>
  </si>
  <si>
    <t>5.5oz Portion Cups</t>
  </si>
  <si>
    <t xml:space="preserve">Brick Griddle </t>
  </si>
  <si>
    <t>Hand Soap</t>
  </si>
  <si>
    <t>Water</t>
  </si>
  <si>
    <t>Bottled Coke</t>
  </si>
  <si>
    <t>Bottled Diet Coke</t>
  </si>
  <si>
    <t>Bottled Coke Zero</t>
  </si>
  <si>
    <t>Bottled Sprite</t>
  </si>
  <si>
    <t>BIB- Coke</t>
  </si>
  <si>
    <t>BIB- Diet Coke</t>
  </si>
  <si>
    <t>BIB- Sprite</t>
  </si>
  <si>
    <t>BIB- Ginger Ale</t>
  </si>
  <si>
    <t>BIB- Tonic Water</t>
  </si>
  <si>
    <t>Canned Diet Coke</t>
  </si>
  <si>
    <t>Canned Coke</t>
  </si>
  <si>
    <t>Canned Sprite</t>
  </si>
  <si>
    <t>Canned Club Soda</t>
  </si>
  <si>
    <t>Small Straws</t>
  </si>
  <si>
    <t>Beverage Order Sheet</t>
  </si>
  <si>
    <t>ORDER UNIT</t>
  </si>
  <si>
    <t>ORDER TO INV</t>
  </si>
  <si>
    <t>INVENTORY UNIT</t>
  </si>
  <si>
    <t>COUNT</t>
  </si>
  <si>
    <t>EXTENSION</t>
  </si>
  <si>
    <t>TOTALS</t>
  </si>
  <si>
    <t>PRICE</t>
  </si>
  <si>
    <t>LIQUOR</t>
  </si>
  <si>
    <t>Hornitos</t>
  </si>
  <si>
    <t>Case</t>
  </si>
  <si>
    <t>bottle</t>
  </si>
  <si>
    <t>Bacardi Bahama Mama</t>
  </si>
  <si>
    <t>Bacardi Mojito</t>
  </si>
  <si>
    <t>Bacardi Rum Punch</t>
  </si>
  <si>
    <t>Bacardi Pina Colada</t>
  </si>
  <si>
    <t>Cazadores Margarita</t>
  </si>
  <si>
    <t>Cazadores Paloma</t>
  </si>
  <si>
    <t>Ketel One Spritzer</t>
  </si>
  <si>
    <t>Jim Beam Highball</t>
  </si>
  <si>
    <t>Caribe Mule</t>
  </si>
  <si>
    <t>Old Fashioned Mule</t>
  </si>
  <si>
    <t>Nutrl Pineapple</t>
  </si>
  <si>
    <t>Nutrl Watermelon</t>
  </si>
  <si>
    <t>Bud Black Cherry Seltzer</t>
  </si>
  <si>
    <t>BOTTLE BEER</t>
  </si>
  <si>
    <t>Miller Lite</t>
  </si>
  <si>
    <t>Coors Lite</t>
  </si>
  <si>
    <t>Mich Ultra</t>
  </si>
  <si>
    <t>Bud Light</t>
  </si>
  <si>
    <t>Budweiser</t>
  </si>
  <si>
    <t>Corona</t>
  </si>
  <si>
    <t>Modelo</t>
  </si>
  <si>
    <t>Heineken</t>
  </si>
  <si>
    <t>Stella</t>
  </si>
  <si>
    <t>Yeungling</t>
  </si>
  <si>
    <t>Jai Alai</t>
  </si>
  <si>
    <t>DRAFT BEER</t>
  </si>
  <si>
    <t>Keg</t>
  </si>
  <si>
    <t>keg</t>
  </si>
  <si>
    <t>Yuengling</t>
  </si>
  <si>
    <t>WINE</t>
  </si>
  <si>
    <t>Cabernet</t>
  </si>
  <si>
    <t>Chardonny</t>
  </si>
  <si>
    <t>Merlot</t>
  </si>
  <si>
    <t>Stella Peach</t>
  </si>
  <si>
    <t>NAB</t>
  </si>
  <si>
    <t>Perrier</t>
  </si>
  <si>
    <t>Fiji</t>
  </si>
  <si>
    <t>Powerade Red</t>
  </si>
  <si>
    <t>Powerade Blue</t>
  </si>
  <si>
    <t>Powerade Purple</t>
  </si>
  <si>
    <t>Powerade Orange</t>
  </si>
  <si>
    <t>Powerade Yellow</t>
  </si>
  <si>
    <t>Powerade SF Red</t>
  </si>
  <si>
    <t>Powerade SF Blue</t>
  </si>
  <si>
    <t>Powerade SF Purple</t>
  </si>
  <si>
    <t>Powerade SF Orage</t>
  </si>
  <si>
    <t>Powerade SF Yellow</t>
  </si>
  <si>
    <t>Bottle Unsweet Tea</t>
  </si>
  <si>
    <t>Bottle Sweet Tea</t>
  </si>
  <si>
    <t>Bottle Coke</t>
  </si>
  <si>
    <t>Bottle Diet Coke</t>
  </si>
  <si>
    <t>Bottle Coke Zero</t>
  </si>
  <si>
    <t>Bottle Sprite</t>
  </si>
  <si>
    <t>BIB Coke</t>
  </si>
  <si>
    <t>Each</t>
  </si>
  <si>
    <t>BIB Diet Coke</t>
  </si>
  <si>
    <t>BIB Coke Zero</t>
  </si>
  <si>
    <t>BIB Sprite</t>
  </si>
  <si>
    <t>BIB Ginger Ale</t>
  </si>
  <si>
    <t>BIB Powerade Blue</t>
  </si>
  <si>
    <t>Monster Black</t>
  </si>
  <si>
    <t>Monster White</t>
  </si>
  <si>
    <t>Monster Orange</t>
  </si>
  <si>
    <t>Monster Blue</t>
  </si>
  <si>
    <t>Clesius Kiwi</t>
  </si>
  <si>
    <t>Clesius Orange</t>
  </si>
  <si>
    <t>1-10lb</t>
  </si>
  <si>
    <t>1-30lb</t>
  </si>
  <si>
    <t>10lb</t>
  </si>
  <si>
    <t>20lb</t>
  </si>
  <si>
    <t>17lb</t>
  </si>
  <si>
    <t>19.75lb</t>
  </si>
  <si>
    <t>15lb</t>
  </si>
  <si>
    <t>16.5lb</t>
  </si>
  <si>
    <t>10.13lb</t>
  </si>
  <si>
    <t>12lb</t>
  </si>
  <si>
    <t>1cs</t>
  </si>
  <si>
    <t>40lb</t>
  </si>
  <si>
    <t>6cs</t>
  </si>
  <si>
    <t>25.30lb</t>
  </si>
  <si>
    <t>Spring mix</t>
  </si>
  <si>
    <t>30lb</t>
  </si>
  <si>
    <t>5lb</t>
  </si>
  <si>
    <t>25lb</t>
  </si>
  <si>
    <t>1lb</t>
  </si>
  <si>
    <t>3lb</t>
  </si>
  <si>
    <t>3cs</t>
  </si>
  <si>
    <t>60unit</t>
  </si>
  <si>
    <t>2bags</t>
  </si>
  <si>
    <t>1jar</t>
  </si>
  <si>
    <t>2units</t>
  </si>
  <si>
    <t>1unit</t>
  </si>
  <si>
    <t>BJS</t>
  </si>
  <si>
    <t>1nit</t>
  </si>
  <si>
    <t>3bags</t>
  </si>
  <si>
    <t>1bag</t>
  </si>
  <si>
    <t>2cs</t>
  </si>
  <si>
    <t>GFS/BJS</t>
  </si>
  <si>
    <t>6bags</t>
  </si>
  <si>
    <t>4/bag</t>
  </si>
  <si>
    <t>24lb</t>
  </si>
  <si>
    <t>3.5lb</t>
  </si>
  <si>
    <t>1quarter</t>
  </si>
  <si>
    <t>4quarter</t>
  </si>
  <si>
    <t>bjS</t>
  </si>
  <si>
    <t>2cas</t>
  </si>
  <si>
    <t>9lb</t>
  </si>
  <si>
    <t>1galon</t>
  </si>
  <si>
    <t>3glons</t>
  </si>
  <si>
    <t>10.5lb</t>
  </si>
  <si>
    <t>16lb</t>
  </si>
  <si>
    <t>4jugs</t>
  </si>
  <si>
    <t>1fill</t>
  </si>
  <si>
    <t>1bottle</t>
  </si>
  <si>
    <t>5jr</t>
  </si>
  <si>
    <t>1gallon</t>
  </si>
  <si>
    <t>1each</t>
  </si>
  <si>
    <t>Soy Sauce</t>
  </si>
  <si>
    <t>3each</t>
  </si>
  <si>
    <t>1jr</t>
  </si>
  <si>
    <t>4cs</t>
  </si>
  <si>
    <t>1box</t>
  </si>
  <si>
    <t>3oils</t>
  </si>
  <si>
    <t>3jar</t>
  </si>
  <si>
    <t>1bib</t>
  </si>
</sst>
</file>

<file path=xl/styles.xml><?xml version="1.0" encoding="utf-8"?>
<styleSheet xmlns="http://schemas.openxmlformats.org/spreadsheetml/2006/main">
  <numFmts count="3">
    <numFmt numFmtId="164" formatCode="_(\$* #,##0.00_);_(\$* \(#,##0.00\);_(\$* \-??_);_(@_)"/>
    <numFmt numFmtId="165" formatCode="m/d;@"/>
    <numFmt numFmtId="166" formatCode="#,##0.0_);\(#,##0.0\)"/>
  </numFmts>
  <fonts count="12">
    <font>
      <sz val="10"/>
      <name val="Arial"/>
      <charset val="1"/>
    </font>
    <font>
      <b/>
      <sz val="10"/>
      <name val="Arial"/>
      <family val="2"/>
      <charset val="1"/>
    </font>
    <font>
      <b/>
      <sz val="18"/>
      <color rgb="FFFF0000"/>
      <name val="Arial"/>
      <family val="2"/>
      <charset val="1"/>
    </font>
    <font>
      <b/>
      <sz val="10"/>
      <color rgb="FFFF0000"/>
      <name val="Arial"/>
      <family val="2"/>
      <charset val="1"/>
    </font>
    <font>
      <sz val="8"/>
      <color rgb="FF000000"/>
      <name val="Times New Roman"/>
      <family val="1"/>
      <charset val="1"/>
    </font>
    <font>
      <b/>
      <sz val="8"/>
      <name val="Arial"/>
      <family val="2"/>
      <charset val="1"/>
    </font>
    <font>
      <b/>
      <sz val="14"/>
      <name val="Arial"/>
      <family val="2"/>
      <charset val="1"/>
    </font>
    <font>
      <b/>
      <sz val="10"/>
      <color theme="0"/>
      <name val="Arial"/>
      <family val="2"/>
      <charset val="1"/>
    </font>
    <font>
      <b/>
      <sz val="14"/>
      <color theme="0"/>
      <name val="Arial"/>
      <family val="2"/>
      <charset val="1"/>
    </font>
    <font>
      <sz val="10"/>
      <name val="Arial"/>
      <family val="2"/>
      <charset val="1"/>
    </font>
    <font>
      <sz val="10"/>
      <name val="Calibri"/>
      <family val="2"/>
    </font>
    <font>
      <b/>
      <sz val="10"/>
      <color rgb="FF000000"/>
      <name val="Tahoma"/>
      <family val="2"/>
      <charset val="1"/>
    </font>
  </fonts>
  <fills count="7">
    <fill>
      <patternFill patternType="none"/>
    </fill>
    <fill>
      <patternFill patternType="gray125"/>
    </fill>
    <fill>
      <patternFill patternType="solid">
        <fgColor rgb="FFFFFFFF"/>
        <bgColor rgb="FFFFFFCC"/>
      </patternFill>
    </fill>
    <fill>
      <patternFill patternType="solid">
        <fgColor rgb="FFCADCEE"/>
        <bgColor rgb="FFB4C9E2"/>
      </patternFill>
    </fill>
    <fill>
      <patternFill patternType="solid">
        <fgColor rgb="FF376091"/>
        <bgColor rgb="FF333399"/>
      </patternFill>
    </fill>
    <fill>
      <patternFill patternType="solid">
        <fgColor rgb="FFB4C9E2"/>
        <bgColor rgb="FF99CCFF"/>
      </patternFill>
    </fill>
    <fill>
      <patternFill patternType="solid">
        <fgColor rgb="FFCCFFCC"/>
        <bgColor rgb="FFCCFFFF"/>
      </patternFill>
    </fill>
  </fills>
  <borders count="43">
    <border>
      <left/>
      <right/>
      <top/>
      <bottom/>
      <diagonal/>
    </border>
    <border>
      <left style="medium">
        <color auto="1"/>
      </left>
      <right/>
      <top style="medium">
        <color auto="1"/>
      </top>
      <bottom/>
      <diagonal/>
    </border>
    <border>
      <left style="medium">
        <color auto="1"/>
      </left>
      <right style="medium">
        <color auto="1"/>
      </right>
      <top style="medium">
        <color auto="1"/>
      </top>
      <bottom style="thin">
        <color auto="1"/>
      </bottom>
      <diagonal/>
    </border>
    <border>
      <left style="medium">
        <color auto="1"/>
      </left>
      <right/>
      <top style="medium">
        <color auto="1"/>
      </top>
      <bottom style="thin">
        <color auto="1"/>
      </bottom>
      <diagonal/>
    </border>
    <border>
      <left style="thin">
        <color auto="1"/>
      </left>
      <right style="thin">
        <color auto="1"/>
      </right>
      <top style="medium">
        <color auto="1"/>
      </top>
      <bottom/>
      <diagonal/>
    </border>
    <border>
      <left style="medium">
        <color auto="1"/>
      </left>
      <right/>
      <top/>
      <bottom/>
      <diagonal/>
    </border>
    <border>
      <left style="thin">
        <color auto="1"/>
      </left>
      <right style="medium">
        <color auto="1"/>
      </right>
      <top style="thin">
        <color auto="1"/>
      </top>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diagonal/>
    </border>
    <border>
      <left style="thin">
        <color auto="1"/>
      </left>
      <right/>
      <top/>
      <bottom style="thin">
        <color auto="1"/>
      </bottom>
      <diagonal/>
    </border>
    <border>
      <left/>
      <right/>
      <top/>
      <bottom style="thin">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top/>
      <bottom style="thin">
        <color auto="1"/>
      </bottom>
      <diagonal/>
    </border>
    <border>
      <left style="thin">
        <color auto="1"/>
      </left>
      <right style="thin">
        <color auto="1"/>
      </right>
      <top style="thin">
        <color auto="1"/>
      </top>
      <bottom style="thin">
        <color auto="1"/>
      </bottom>
      <diagonal/>
    </border>
    <border>
      <left style="medium">
        <color auto="1"/>
      </left>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style="thin">
        <color auto="1"/>
      </left>
      <right style="medium">
        <color auto="1"/>
      </right>
      <top style="medium">
        <color auto="1"/>
      </top>
      <bottom style="medium">
        <color auto="1"/>
      </bottom>
      <diagonal/>
    </border>
    <border>
      <left style="thin">
        <color auto="1"/>
      </left>
      <right/>
      <top/>
      <bottom/>
      <diagonal/>
    </border>
    <border>
      <left style="medium">
        <color auto="1"/>
      </left>
      <right style="thin">
        <color auto="1"/>
      </right>
      <top/>
      <bottom/>
      <diagonal/>
    </border>
    <border>
      <left style="thin">
        <color auto="1"/>
      </left>
      <right style="medium">
        <color auto="1"/>
      </right>
      <top/>
      <bottom/>
      <diagonal/>
    </border>
    <border>
      <left style="medium">
        <color auto="1"/>
      </left>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bottom style="thin">
        <color auto="1"/>
      </bottom>
      <diagonal/>
    </border>
    <border>
      <left style="medium">
        <color auto="1"/>
      </left>
      <right style="medium">
        <color auto="1"/>
      </right>
      <top/>
      <bottom style="medium">
        <color auto="1"/>
      </bottom>
      <diagonal/>
    </border>
    <border>
      <left style="medium">
        <color auto="1"/>
      </left>
      <right style="medium">
        <color auto="1"/>
      </right>
      <top/>
      <bottom/>
      <diagonal/>
    </border>
    <border>
      <left/>
      <right/>
      <top style="thin">
        <color auto="1"/>
      </top>
      <bottom/>
      <diagonal/>
    </border>
    <border>
      <left/>
      <right style="thin">
        <color auto="1"/>
      </right>
      <top style="thin">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bottom/>
      <diagonal/>
    </border>
    <border>
      <left style="thin">
        <color auto="1"/>
      </left>
      <right style="medium">
        <color auto="1"/>
      </right>
      <top style="thin">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top/>
      <bottom style="medium">
        <color auto="1"/>
      </bottom>
      <diagonal/>
    </border>
    <border>
      <left/>
      <right style="medium">
        <color auto="1"/>
      </right>
      <top style="thin">
        <color auto="1"/>
      </top>
      <bottom style="thin">
        <color auto="1"/>
      </bottom>
      <diagonal/>
    </border>
  </borders>
  <cellStyleXfs count="1">
    <xf numFmtId="0" fontId="0" fillId="0" borderId="0"/>
  </cellStyleXfs>
  <cellXfs count="153">
    <xf numFmtId="0" fontId="0" fillId="0" borderId="0" xfId="0"/>
    <xf numFmtId="0" fontId="6" fillId="2" borderId="21" xfId="0" applyFont="1" applyFill="1" applyBorder="1" applyAlignment="1">
      <alignment horizontal="center" vertical="center"/>
    </xf>
    <xf numFmtId="0" fontId="9" fillId="2" borderId="16" xfId="0" applyFont="1" applyFill="1" applyBorder="1" applyAlignment="1">
      <alignment wrapText="1"/>
    </xf>
    <xf numFmtId="0" fontId="9" fillId="2" borderId="18" xfId="0" applyFont="1" applyFill="1" applyBorder="1" applyAlignment="1"/>
    <xf numFmtId="0" fontId="9" fillId="2" borderId="16" xfId="0" applyFont="1" applyFill="1" applyBorder="1" applyAlignment="1"/>
    <xf numFmtId="0" fontId="1" fillId="3" borderId="31" xfId="0" applyFont="1" applyFill="1" applyBorder="1" applyAlignment="1">
      <alignment horizontal="center"/>
    </xf>
    <xf numFmtId="0" fontId="8" fillId="4" borderId="30" xfId="0" applyFont="1" applyFill="1" applyBorder="1" applyAlignment="1">
      <alignment horizontal="left" wrapText="1"/>
    </xf>
    <xf numFmtId="0" fontId="9" fillId="2" borderId="16" xfId="0" applyFont="1" applyFill="1" applyBorder="1"/>
    <xf numFmtId="0" fontId="8" fillId="4" borderId="20" xfId="0" applyFont="1" applyFill="1" applyBorder="1" applyAlignment="1">
      <alignment horizontal="left" wrapText="1"/>
    </xf>
    <xf numFmtId="164" fontId="7" fillId="4" borderId="16" xfId="0" applyNumberFormat="1" applyFont="1" applyFill="1" applyBorder="1" applyAlignment="1">
      <alignment horizontal="center" vertical="center" wrapText="1"/>
    </xf>
    <xf numFmtId="0" fontId="1" fillId="3" borderId="21" xfId="0" applyFont="1" applyFill="1" applyBorder="1" applyAlignment="1">
      <alignment horizontal="center"/>
    </xf>
    <xf numFmtId="0" fontId="8" fillId="4" borderId="20" xfId="0" applyFont="1" applyFill="1" applyBorder="1" applyAlignment="1">
      <alignment horizontal="left"/>
    </xf>
    <xf numFmtId="164" fontId="7" fillId="4" borderId="4" xfId="0" applyNumberFormat="1" applyFont="1" applyFill="1" applyBorder="1" applyAlignment="1">
      <alignment horizontal="center" vertical="center" wrapText="1"/>
    </xf>
    <xf numFmtId="0" fontId="1" fillId="3" borderId="2" xfId="0" applyFont="1" applyFill="1" applyBorder="1" applyAlignment="1">
      <alignment horizontal="center"/>
    </xf>
    <xf numFmtId="0" fontId="6" fillId="2" borderId="1" xfId="0" applyFont="1" applyFill="1" applyBorder="1" applyAlignment="1">
      <alignment horizontal="center" vertical="center"/>
    </xf>
    <xf numFmtId="0" fontId="1" fillId="2" borderId="0" xfId="0" applyFont="1" applyFill="1"/>
    <xf numFmtId="0" fontId="1" fillId="2" borderId="0" xfId="0" applyFont="1" applyFill="1" applyAlignment="1">
      <alignment horizontal="center"/>
    </xf>
    <xf numFmtId="164" fontId="1" fillId="2" borderId="0" xfId="0" applyNumberFormat="1" applyFont="1" applyFill="1" applyAlignment="1">
      <alignment horizontal="left"/>
    </xf>
    <xf numFmtId="0" fontId="2" fillId="2" borderId="0" xfId="0" applyFont="1" applyFill="1"/>
    <xf numFmtId="39" fontId="1" fillId="2" borderId="0" xfId="0" applyNumberFormat="1" applyFont="1" applyFill="1" applyAlignment="1">
      <alignment horizontal="center"/>
    </xf>
    <xf numFmtId="165" fontId="3" fillId="2" borderId="0" xfId="0" applyNumberFormat="1" applyFont="1" applyFill="1" applyAlignment="1">
      <alignment horizontal="center"/>
    </xf>
    <xf numFmtId="0" fontId="4" fillId="0" borderId="0" xfId="0" applyFont="1"/>
    <xf numFmtId="0" fontId="5" fillId="2" borderId="0" xfId="0" applyFont="1" applyFill="1"/>
    <xf numFmtId="0" fontId="5" fillId="2" borderId="0" xfId="0" applyFont="1" applyFill="1" applyAlignment="1">
      <alignment horizontal="center"/>
    </xf>
    <xf numFmtId="39" fontId="1" fillId="3" borderId="3" xfId="0" applyNumberFormat="1" applyFont="1" applyFill="1" applyBorder="1" applyAlignment="1">
      <alignment horizontal="center"/>
    </xf>
    <xf numFmtId="0" fontId="1" fillId="0" borderId="5" xfId="0" applyFont="1" applyBorder="1" applyAlignment="1">
      <alignment horizontal="center" vertical="center" wrapText="1"/>
    </xf>
    <xf numFmtId="0" fontId="1" fillId="0" borderId="0" xfId="0" applyFont="1" applyAlignment="1">
      <alignment horizontal="center" vertical="center" wrapText="1"/>
    </xf>
    <xf numFmtId="164" fontId="1" fillId="0" borderId="6" xfId="0" applyNumberFormat="1" applyFont="1" applyBorder="1" applyAlignment="1">
      <alignment horizontal="center" vertical="center" wrapText="1"/>
    </xf>
    <xf numFmtId="39" fontId="1" fillId="2" borderId="5" xfId="0" applyNumberFormat="1" applyFont="1" applyFill="1" applyBorder="1" applyAlignment="1">
      <alignment horizontal="center" vertical="center" wrapText="1"/>
    </xf>
    <xf numFmtId="0" fontId="8" fillId="4" borderId="7" xfId="0" applyFont="1" applyFill="1" applyBorder="1" applyAlignment="1">
      <alignment horizontal="left"/>
    </xf>
    <xf numFmtId="0" fontId="8" fillId="4" borderId="8" xfId="0" applyFont="1" applyFill="1" applyBorder="1" applyAlignment="1">
      <alignment horizontal="left"/>
    </xf>
    <xf numFmtId="0" fontId="1" fillId="5" borderId="7" xfId="0" applyFont="1" applyFill="1" applyBorder="1" applyAlignment="1">
      <alignment horizontal="center" vertical="center" wrapText="1"/>
    </xf>
    <xf numFmtId="0" fontId="1" fillId="5" borderId="9" xfId="0" applyFont="1" applyFill="1" applyBorder="1" applyAlignment="1">
      <alignment horizontal="center" vertical="center" wrapText="1"/>
    </xf>
    <xf numFmtId="164" fontId="1" fillId="5" borderId="9" xfId="0" applyNumberFormat="1" applyFont="1" applyFill="1" applyBorder="1" applyAlignment="1">
      <alignment horizontal="center" vertical="center" wrapText="1"/>
    </xf>
    <xf numFmtId="39" fontId="1" fillId="5" borderId="9" xfId="0" applyNumberFormat="1" applyFont="1" applyFill="1" applyBorder="1" applyAlignment="1">
      <alignment horizontal="center" vertical="center" wrapText="1"/>
    </xf>
    <xf numFmtId="164" fontId="1" fillId="5" borderId="10" xfId="0" applyNumberFormat="1" applyFont="1" applyFill="1" applyBorder="1" applyAlignment="1">
      <alignment horizontal="center" vertical="center" wrapText="1"/>
    </xf>
    <xf numFmtId="0" fontId="1" fillId="2" borderId="0" xfId="0" applyFont="1" applyFill="1" applyAlignment="1">
      <alignment wrapText="1"/>
    </xf>
    <xf numFmtId="0" fontId="0" fillId="0" borderId="11" xfId="0" applyFont="1" applyBorder="1"/>
    <xf numFmtId="0" fontId="9" fillId="2" borderId="12" xfId="0" applyFont="1" applyFill="1" applyBorder="1"/>
    <xf numFmtId="0" fontId="9" fillId="2" borderId="13" xfId="0" applyFont="1" applyFill="1" applyBorder="1" applyAlignment="1">
      <alignment horizontal="center"/>
    </xf>
    <xf numFmtId="0" fontId="9" fillId="2" borderId="12" xfId="0" applyFont="1" applyFill="1" applyBorder="1" applyAlignment="1">
      <alignment horizontal="center"/>
    </xf>
    <xf numFmtId="164" fontId="9" fillId="2" borderId="14" xfId="0" applyNumberFormat="1" applyFont="1" applyFill="1" applyBorder="1" applyAlignment="1">
      <alignment horizontal="left"/>
    </xf>
    <xf numFmtId="0" fontId="9" fillId="2" borderId="15" xfId="0" applyFont="1" applyFill="1" applyBorder="1" applyAlignment="1">
      <alignment horizontal="center"/>
    </xf>
    <xf numFmtId="164" fontId="1" fillId="0" borderId="16" xfId="0" applyNumberFormat="1" applyFont="1" applyBorder="1" applyAlignment="1">
      <alignment horizontal="center" wrapText="1"/>
    </xf>
    <xf numFmtId="0" fontId="1" fillId="2" borderId="16" xfId="0" applyFont="1" applyFill="1" applyBorder="1" applyAlignment="1">
      <alignment wrapText="1"/>
    </xf>
    <xf numFmtId="2" fontId="1" fillId="2" borderId="0" xfId="0" applyNumberFormat="1" applyFont="1" applyFill="1" applyAlignment="1">
      <alignment horizontal="center" wrapText="1"/>
    </xf>
    <xf numFmtId="0" fontId="9" fillId="2" borderId="17" xfId="0" applyFont="1" applyFill="1" applyBorder="1" applyAlignment="1">
      <alignment horizontal="center"/>
    </xf>
    <xf numFmtId="0" fontId="9" fillId="0" borderId="11" xfId="0" applyFont="1" applyBorder="1"/>
    <xf numFmtId="0" fontId="9" fillId="2" borderId="11" xfId="0" applyFont="1" applyFill="1" applyBorder="1"/>
    <xf numFmtId="0" fontId="9" fillId="2" borderId="18" xfId="0" applyFont="1" applyFill="1" applyBorder="1" applyAlignment="1">
      <alignment wrapText="1"/>
    </xf>
    <xf numFmtId="0" fontId="1" fillId="2" borderId="19" xfId="0" applyFont="1" applyFill="1" applyBorder="1" applyAlignment="1">
      <alignment wrapText="1"/>
    </xf>
    <xf numFmtId="164" fontId="1" fillId="0" borderId="16" xfId="0" applyNumberFormat="1" applyFont="1" applyBorder="1" applyAlignment="1">
      <alignment horizontal="left" wrapText="1"/>
    </xf>
    <xf numFmtId="39" fontId="1" fillId="3" borderId="1" xfId="0" applyNumberFormat="1" applyFont="1" applyFill="1" applyBorder="1" applyAlignment="1">
      <alignment horizontal="center"/>
    </xf>
    <xf numFmtId="0" fontId="1" fillId="2" borderId="16" xfId="0" applyFont="1" applyFill="1" applyBorder="1" applyAlignment="1">
      <alignment horizontal="center"/>
    </xf>
    <xf numFmtId="0" fontId="1" fillId="0" borderId="7" xfId="0" applyFont="1" applyBorder="1" applyAlignment="1">
      <alignment horizontal="center" vertical="center" wrapText="1"/>
    </xf>
    <xf numFmtId="0" fontId="1" fillId="0" borderId="9" xfId="0" applyFont="1" applyBorder="1" applyAlignment="1">
      <alignment horizontal="center" vertical="center" wrapText="1"/>
    </xf>
    <xf numFmtId="164" fontId="1" fillId="0" borderId="22" xfId="0" applyNumberFormat="1" applyFont="1" applyBorder="1" applyAlignment="1">
      <alignment horizontal="center" vertical="center" wrapText="1"/>
    </xf>
    <xf numFmtId="39" fontId="1" fillId="2" borderId="7" xfId="0" applyNumberFormat="1" applyFont="1" applyFill="1" applyBorder="1" applyAlignment="1">
      <alignment horizontal="center" vertical="center" wrapText="1"/>
    </xf>
    <xf numFmtId="164" fontId="1" fillId="2" borderId="16" xfId="0" applyNumberFormat="1" applyFont="1" applyFill="1" applyBorder="1" applyAlignment="1">
      <alignment horizontal="center" wrapText="1"/>
    </xf>
    <xf numFmtId="164" fontId="1" fillId="2" borderId="16" xfId="0" applyNumberFormat="1" applyFont="1" applyFill="1" applyBorder="1" applyAlignment="1">
      <alignment horizontal="left" wrapText="1"/>
    </xf>
    <xf numFmtId="164" fontId="1" fillId="2" borderId="16" xfId="0" applyNumberFormat="1" applyFont="1" applyFill="1" applyBorder="1" applyAlignment="1">
      <alignment horizontal="center"/>
    </xf>
    <xf numFmtId="0" fontId="1" fillId="2" borderId="16" xfId="0" applyFont="1" applyFill="1" applyBorder="1"/>
    <xf numFmtId="0" fontId="9" fillId="2" borderId="23" xfId="0" applyFont="1" applyFill="1" applyBorder="1"/>
    <xf numFmtId="0" fontId="9" fillId="2" borderId="0" xfId="0" applyFont="1" applyFill="1" applyBorder="1"/>
    <xf numFmtId="0" fontId="9" fillId="2" borderId="24" xfId="0" applyFont="1" applyFill="1" applyBorder="1" applyAlignment="1">
      <alignment horizontal="center"/>
    </xf>
    <xf numFmtId="0" fontId="9" fillId="2" borderId="0" xfId="0" applyFont="1" applyFill="1" applyBorder="1" applyAlignment="1">
      <alignment horizontal="center"/>
    </xf>
    <xf numFmtId="164" fontId="9" fillId="2" borderId="25" xfId="0" applyNumberFormat="1" applyFont="1" applyFill="1" applyBorder="1" applyAlignment="1">
      <alignment horizontal="left"/>
    </xf>
    <xf numFmtId="0" fontId="9" fillId="2" borderId="26" xfId="0" applyFont="1" applyFill="1" applyBorder="1" applyAlignment="1">
      <alignment horizontal="center"/>
    </xf>
    <xf numFmtId="0" fontId="9" fillId="2" borderId="16" xfId="0" applyFont="1" applyFill="1" applyBorder="1" applyAlignment="1">
      <alignment horizontal="center"/>
    </xf>
    <xf numFmtId="164" fontId="9" fillId="2" borderId="16" xfId="0" applyNumberFormat="1" applyFont="1" applyFill="1" applyBorder="1" applyAlignment="1">
      <alignment horizontal="left"/>
    </xf>
    <xf numFmtId="0" fontId="9" fillId="2" borderId="18" xfId="0" applyFont="1" applyFill="1" applyBorder="1" applyAlignment="1">
      <alignment horizontal="center"/>
    </xf>
    <xf numFmtId="0" fontId="9" fillId="2" borderId="27" xfId="0" applyFont="1" applyFill="1" applyBorder="1"/>
    <xf numFmtId="0" fontId="9" fillId="2" borderId="28" xfId="0" applyFont="1" applyFill="1" applyBorder="1"/>
    <xf numFmtId="0" fontId="9" fillId="2" borderId="29" xfId="0" applyFont="1" applyFill="1" applyBorder="1"/>
    <xf numFmtId="39" fontId="1" fillId="3" borderId="5" xfId="0" applyNumberFormat="1" applyFont="1" applyFill="1" applyBorder="1" applyAlignment="1">
      <alignment horizontal="center"/>
    </xf>
    <xf numFmtId="164" fontId="1" fillId="0" borderId="16" xfId="0" applyNumberFormat="1" applyFont="1" applyBorder="1" applyAlignment="1">
      <alignment horizontal="center"/>
    </xf>
    <xf numFmtId="0" fontId="0" fillId="0" borderId="11" xfId="0" applyFont="1" applyBorder="1" applyAlignment="1"/>
    <xf numFmtId="0" fontId="9" fillId="2" borderId="12" xfId="0" applyFont="1" applyFill="1" applyBorder="1" applyAlignment="1"/>
    <xf numFmtId="0" fontId="9" fillId="2" borderId="11" xfId="0" applyFont="1" applyFill="1" applyBorder="1" applyAlignment="1"/>
    <xf numFmtId="0" fontId="9" fillId="2" borderId="19" xfId="0" applyFont="1" applyFill="1" applyBorder="1" applyAlignment="1">
      <alignment horizontal="center"/>
    </xf>
    <xf numFmtId="0" fontId="9" fillId="2" borderId="32" xfId="0" applyFont="1" applyFill="1" applyBorder="1" applyAlignment="1">
      <alignment horizontal="center"/>
    </xf>
    <xf numFmtId="0" fontId="9" fillId="2" borderId="18" xfId="0" applyFont="1" applyFill="1" applyBorder="1" applyAlignment="1"/>
    <xf numFmtId="164" fontId="1" fillId="2" borderId="16" xfId="0" applyNumberFormat="1" applyFont="1" applyFill="1" applyBorder="1" applyAlignment="1">
      <alignment horizontal="left"/>
    </xf>
    <xf numFmtId="0" fontId="1" fillId="2" borderId="19" xfId="0" applyFont="1" applyFill="1" applyBorder="1" applyAlignment="1"/>
    <xf numFmtId="0" fontId="7" fillId="0" borderId="16" xfId="0" applyFont="1" applyBorder="1" applyAlignment="1"/>
    <xf numFmtId="164" fontId="7" fillId="0" borderId="16" xfId="0" applyNumberFormat="1" applyFont="1" applyBorder="1" applyAlignment="1">
      <alignment horizontal="left"/>
    </xf>
    <xf numFmtId="164" fontId="7" fillId="0" borderId="18" xfId="0" applyNumberFormat="1" applyFont="1" applyBorder="1" applyAlignment="1">
      <alignment horizontal="left"/>
    </xf>
    <xf numFmtId="0" fontId="1" fillId="0" borderId="16" xfId="0" applyFont="1" applyBorder="1" applyAlignment="1">
      <alignment horizontal="left"/>
    </xf>
    <xf numFmtId="164" fontId="1" fillId="0" borderId="16" xfId="0" applyNumberFormat="1" applyFont="1" applyBorder="1" applyAlignment="1">
      <alignment horizontal="left"/>
    </xf>
    <xf numFmtId="0" fontId="1" fillId="0" borderId="18" xfId="0" applyFont="1" applyBorder="1" applyAlignment="1"/>
    <xf numFmtId="0" fontId="1" fillId="0" borderId="16" xfId="0" applyFont="1" applyBorder="1" applyAlignment="1">
      <alignment horizontal="left" wrapText="1"/>
    </xf>
    <xf numFmtId="0" fontId="1" fillId="0" borderId="18" xfId="0" applyFont="1" applyBorder="1" applyAlignment="1">
      <alignment wrapText="1"/>
    </xf>
    <xf numFmtId="0" fontId="9" fillId="2" borderId="33" xfId="0" applyFont="1" applyFill="1" applyBorder="1" applyAlignment="1">
      <alignment wrapText="1"/>
    </xf>
    <xf numFmtId="0" fontId="9" fillId="2" borderId="33" xfId="0" applyFont="1" applyFill="1" applyBorder="1" applyAlignment="1"/>
    <xf numFmtId="0" fontId="1" fillId="2" borderId="0" xfId="0" applyFont="1" applyFill="1" applyBorder="1" applyAlignment="1">
      <alignment horizontal="center"/>
    </xf>
    <xf numFmtId="164" fontId="1" fillId="2" borderId="0" xfId="0" applyNumberFormat="1" applyFont="1" applyFill="1" applyBorder="1" applyAlignment="1">
      <alignment horizontal="left"/>
    </xf>
    <xf numFmtId="164" fontId="1" fillId="2" borderId="0" xfId="0" applyNumberFormat="1" applyFont="1" applyFill="1" applyBorder="1" applyAlignment="1">
      <alignment horizontal="center"/>
    </xf>
    <xf numFmtId="0" fontId="1" fillId="0" borderId="0" xfId="0" applyFont="1" applyAlignment="1">
      <alignment horizontal="center"/>
    </xf>
    <xf numFmtId="164" fontId="1" fillId="0" borderId="0" xfId="0" applyNumberFormat="1" applyFont="1" applyAlignment="1">
      <alignment horizontal="left"/>
    </xf>
    <xf numFmtId="166" fontId="1" fillId="0" borderId="0" xfId="0" applyNumberFormat="1" applyFont="1" applyAlignment="1">
      <alignment horizontal="center"/>
    </xf>
    <xf numFmtId="39" fontId="1" fillId="0" borderId="0" xfId="0" applyNumberFormat="1" applyFont="1" applyAlignment="1">
      <alignment horizontal="center"/>
    </xf>
    <xf numFmtId="164" fontId="1" fillId="0" borderId="0" xfId="0" applyNumberFormat="1" applyFont="1"/>
    <xf numFmtId="166" fontId="1" fillId="0" borderId="0" xfId="0" applyNumberFormat="1" applyFont="1"/>
    <xf numFmtId="0" fontId="1" fillId="0" borderId="0" xfId="0" applyFont="1"/>
    <xf numFmtId="166" fontId="1" fillId="2" borderId="0" xfId="0" applyNumberFormat="1" applyFont="1" applyFill="1" applyAlignment="1">
      <alignment horizontal="center"/>
    </xf>
    <xf numFmtId="164" fontId="1" fillId="2" borderId="0" xfId="0" applyNumberFormat="1" applyFont="1" applyFill="1"/>
    <xf numFmtId="166" fontId="1" fillId="2" borderId="0" xfId="0" applyNumberFormat="1" applyFont="1" applyFill="1"/>
    <xf numFmtId="165" fontId="3" fillId="2" borderId="20" xfId="0" applyNumberFormat="1" applyFont="1" applyFill="1" applyBorder="1" applyAlignment="1">
      <alignment horizontal="center"/>
    </xf>
    <xf numFmtId="0" fontId="1" fillId="2" borderId="0" xfId="0" applyFont="1" applyFill="1" applyAlignment="1">
      <alignment horizontal="center" wrapText="1"/>
    </xf>
    <xf numFmtId="166" fontId="1" fillId="2" borderId="0" xfId="0" applyNumberFormat="1" applyFont="1" applyFill="1" applyAlignment="1">
      <alignment horizontal="center" wrapText="1"/>
    </xf>
    <xf numFmtId="164" fontId="1" fillId="2" borderId="0" xfId="0" applyNumberFormat="1" applyFont="1" applyFill="1" applyAlignment="1">
      <alignment horizontal="center" wrapText="1"/>
    </xf>
    <xf numFmtId="164" fontId="1" fillId="2" borderId="6" xfId="0" applyNumberFormat="1" applyFont="1" applyFill="1" applyBorder="1" applyAlignment="1">
      <alignment horizontal="center" vertical="center" wrapText="1"/>
    </xf>
    <xf numFmtId="166" fontId="1" fillId="5" borderId="9" xfId="0" applyNumberFormat="1" applyFont="1" applyFill="1" applyBorder="1" applyAlignment="1">
      <alignment horizontal="center" vertical="center" wrapText="1"/>
    </xf>
    <xf numFmtId="164" fontId="1" fillId="5" borderId="8" xfId="0" applyNumberFormat="1" applyFont="1" applyFill="1" applyBorder="1" applyAlignment="1">
      <alignment horizontal="center" vertical="center" wrapText="1"/>
    </xf>
    <xf numFmtId="0" fontId="9" fillId="2" borderId="35" xfId="0" applyFont="1" applyFill="1" applyBorder="1" applyAlignment="1">
      <alignment horizontal="center"/>
    </xf>
    <xf numFmtId="164" fontId="9" fillId="2" borderId="36" xfId="0" applyNumberFormat="1" applyFont="1" applyFill="1" applyBorder="1" applyAlignment="1">
      <alignment horizontal="left"/>
    </xf>
    <xf numFmtId="166" fontId="9" fillId="0" borderId="19" xfId="0" applyNumberFormat="1" applyFont="1" applyBorder="1" applyAlignment="1">
      <alignment horizontal="center"/>
    </xf>
    <xf numFmtId="164" fontId="9" fillId="0" borderId="36" xfId="0" applyNumberFormat="1" applyFont="1" applyBorder="1"/>
    <xf numFmtId="166" fontId="1" fillId="2" borderId="33" xfId="0" applyNumberFormat="1" applyFont="1" applyFill="1" applyBorder="1"/>
    <xf numFmtId="164" fontId="9" fillId="3" borderId="16" xfId="0" applyNumberFormat="1" applyFont="1" applyFill="1" applyBorder="1" applyAlignment="1">
      <alignment horizontal="left"/>
    </xf>
    <xf numFmtId="164" fontId="1" fillId="2" borderId="37" xfId="0" applyNumberFormat="1" applyFont="1" applyFill="1" applyBorder="1" applyAlignment="1">
      <alignment horizontal="left"/>
    </xf>
    <xf numFmtId="39" fontId="9" fillId="0" borderId="35" xfId="0" applyNumberFormat="1" applyFont="1" applyBorder="1" applyAlignment="1">
      <alignment horizontal="center"/>
    </xf>
    <xf numFmtId="0" fontId="0" fillId="2" borderId="0" xfId="0" applyFill="1"/>
    <xf numFmtId="0" fontId="1" fillId="2" borderId="35" xfId="0" applyFont="1" applyFill="1" applyBorder="1" applyAlignment="1">
      <alignment horizontal="center"/>
    </xf>
    <xf numFmtId="164" fontId="1" fillId="6" borderId="20" xfId="0" applyNumberFormat="1" applyFont="1" applyFill="1" applyBorder="1" applyAlignment="1">
      <alignment horizontal="left"/>
    </xf>
    <xf numFmtId="0" fontId="1" fillId="0" borderId="41" xfId="0" applyFont="1" applyBorder="1" applyAlignment="1">
      <alignment horizontal="center" vertical="center" wrapText="1"/>
    </xf>
    <xf numFmtId="164" fontId="1" fillId="0" borderId="38" xfId="0" applyNumberFormat="1" applyFont="1" applyBorder="1" applyAlignment="1">
      <alignment horizontal="center" vertical="center" wrapText="1"/>
    </xf>
    <xf numFmtId="39" fontId="1" fillId="2" borderId="41" xfId="0" applyNumberFormat="1" applyFont="1" applyFill="1" applyBorder="1" applyAlignment="1">
      <alignment horizontal="center" vertical="center" wrapText="1"/>
    </xf>
    <xf numFmtId="164" fontId="1" fillId="2" borderId="38" xfId="0" applyNumberFormat="1" applyFont="1" applyFill="1" applyBorder="1" applyAlignment="1">
      <alignment horizontal="center" vertical="center" wrapText="1"/>
    </xf>
    <xf numFmtId="166" fontId="9" fillId="2" borderId="19" xfId="0" applyNumberFormat="1" applyFont="1" applyFill="1" applyBorder="1" applyAlignment="1">
      <alignment horizontal="center"/>
    </xf>
    <xf numFmtId="164" fontId="9" fillId="3" borderId="18" xfId="0" applyNumberFormat="1" applyFont="1" applyFill="1" applyBorder="1" applyAlignment="1">
      <alignment horizontal="left"/>
    </xf>
    <xf numFmtId="0" fontId="9" fillId="0" borderId="18" xfId="0" applyFont="1" applyBorder="1"/>
    <xf numFmtId="0" fontId="0" fillId="0" borderId="19" xfId="0" applyBorder="1"/>
    <xf numFmtId="0" fontId="0" fillId="0" borderId="42" xfId="0" applyBorder="1"/>
    <xf numFmtId="0" fontId="7" fillId="0" borderId="0" xfId="0" applyFont="1"/>
    <xf numFmtId="164" fontId="7" fillId="0" borderId="0" xfId="0" applyNumberFormat="1" applyFont="1" applyAlignment="1">
      <alignment horizontal="left"/>
    </xf>
    <xf numFmtId="166" fontId="7" fillId="0" borderId="0" xfId="0" applyNumberFormat="1" applyFont="1"/>
    <xf numFmtId="166" fontId="7" fillId="0" borderId="0" xfId="0" applyNumberFormat="1" applyFont="1" applyAlignment="1">
      <alignment horizontal="center"/>
    </xf>
    <xf numFmtId="166" fontId="7" fillId="4" borderId="20" xfId="0" applyNumberFormat="1" applyFont="1" applyFill="1" applyBorder="1" applyAlignment="1">
      <alignment horizontal="center" vertical="center" wrapText="1"/>
    </xf>
    <xf numFmtId="39" fontId="1" fillId="3" borderId="2" xfId="0" applyNumberFormat="1" applyFont="1" applyFill="1" applyBorder="1" applyAlignment="1">
      <alignment horizontal="center"/>
    </xf>
    <xf numFmtId="164" fontId="1" fillId="3" borderId="4" xfId="0" applyNumberFormat="1" applyFont="1" applyFill="1" applyBorder="1" applyAlignment="1">
      <alignment horizontal="center" vertical="center" wrapText="1"/>
    </xf>
    <xf numFmtId="0" fontId="0" fillId="0" borderId="34" xfId="0" applyFont="1" applyBorder="1"/>
    <xf numFmtId="0" fontId="0" fillId="0" borderId="36" xfId="0" applyFont="1" applyBorder="1"/>
    <xf numFmtId="0" fontId="9" fillId="2" borderId="36" xfId="0" applyFont="1" applyFill="1" applyBorder="1" applyAlignment="1">
      <alignment horizontal="left"/>
    </xf>
    <xf numFmtId="0" fontId="9" fillId="2" borderId="38" xfId="0" applyFont="1" applyFill="1" applyBorder="1"/>
    <xf numFmtId="164" fontId="7" fillId="4" borderId="39" xfId="0" applyNumberFormat="1" applyFont="1" applyFill="1" applyBorder="1" applyAlignment="1">
      <alignment horizontal="center" vertical="center" wrapText="1"/>
    </xf>
    <xf numFmtId="164" fontId="1" fillId="3" borderId="40" xfId="0" applyNumberFormat="1" applyFont="1" applyFill="1" applyBorder="1" applyAlignment="1">
      <alignment horizontal="center" vertical="center" wrapText="1"/>
    </xf>
    <xf numFmtId="164" fontId="7" fillId="4" borderId="40" xfId="0" applyNumberFormat="1" applyFont="1" applyFill="1" applyBorder="1" applyAlignment="1">
      <alignment horizontal="center" vertical="center" wrapText="1"/>
    </xf>
    <xf numFmtId="0" fontId="9" fillId="2" borderId="34" xfId="0" applyFont="1" applyFill="1" applyBorder="1" applyAlignment="1">
      <alignment horizontal="left"/>
    </xf>
    <xf numFmtId="0" fontId="1" fillId="2" borderId="36" xfId="0" applyFont="1" applyFill="1" applyBorder="1" applyAlignment="1">
      <alignment horizontal="left"/>
    </xf>
    <xf numFmtId="0" fontId="9" fillId="0" borderId="36" xfId="0" applyFont="1" applyBorder="1"/>
    <xf numFmtId="37" fontId="9" fillId="2" borderId="14" xfId="0" applyNumberFormat="1" applyFont="1" applyFill="1" applyBorder="1" applyAlignment="1">
      <alignment horizontal="left"/>
    </xf>
    <xf numFmtId="37" fontId="9" fillId="2" borderId="14" xfId="0" applyNumberFormat="1" applyFont="1" applyFill="1" applyBorder="1" applyAlignment="1">
      <alignment horizontal="center"/>
    </xf>
  </cellXfs>
  <cellStyles count="1">
    <cellStyle name="Normal" xfId="0" builtinId="0"/>
  </cellStyles>
  <dxfs count="0"/>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C9E2"/>
      <rgbColor rgb="FF808080"/>
      <rgbColor rgb="FF9999FF"/>
      <rgbColor rgb="FF993366"/>
      <rgbColor rgb="FFFFFFCC"/>
      <rgbColor rgb="FFCCFFFF"/>
      <rgbColor rgb="FF660066"/>
      <rgbColor rgb="FFFF8080"/>
      <rgbColor rgb="FF0066CC"/>
      <rgbColor rgb="FFCADCE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376091"/>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dimension ref="A1:N223"/>
  <sheetViews>
    <sheetView showGridLines="0" tabSelected="1" zoomScale="125" zoomScaleNormal="125" workbookViewId="0">
      <selection activeCell="G222" sqref="G222"/>
    </sheetView>
  </sheetViews>
  <sheetFormatPr defaultColWidth="9.109375" defaultRowHeight="12.75" customHeight="1"/>
  <cols>
    <col min="1" max="2" width="3.44140625" style="15" customWidth="1"/>
    <col min="3" max="3" width="21.44140625" style="15" customWidth="1"/>
    <col min="4" max="4" width="12.6640625" style="15" customWidth="1"/>
    <col min="5" max="6" width="9.6640625" style="16" customWidth="1"/>
    <col min="7" max="7" width="9.109375" style="17"/>
    <col min="8" max="8" width="13.44140625" style="17" customWidth="1"/>
    <col min="9" max="9" width="12.88671875" style="15" customWidth="1"/>
    <col min="10" max="14" width="11.5546875" style="15" hidden="1" customWidth="1"/>
    <col min="15" max="16384" width="9.109375" style="15"/>
  </cols>
  <sheetData>
    <row r="1" spans="3:14" ht="22.8">
      <c r="C1" s="18" t="s">
        <v>0</v>
      </c>
      <c r="E1" s="15"/>
      <c r="F1" s="15"/>
      <c r="G1" s="16"/>
      <c r="H1" s="19"/>
      <c r="I1" s="17"/>
    </row>
    <row r="2" spans="3:14" ht="17.25" customHeight="1">
      <c r="C2" s="15" t="s">
        <v>1</v>
      </c>
      <c r="E2" s="15"/>
      <c r="F2" s="15"/>
      <c r="G2" s="16"/>
      <c r="H2" s="19" t="s">
        <v>2</v>
      </c>
      <c r="I2" s="17"/>
    </row>
    <row r="3" spans="3:14" ht="13.2">
      <c r="D3" s="20"/>
      <c r="E3" s="15"/>
      <c r="F3" s="15"/>
      <c r="H3" s="19"/>
      <c r="I3" s="17"/>
    </row>
    <row r="4" spans="3:14" ht="13.2">
      <c r="C4" s="21"/>
      <c r="D4" s="22"/>
      <c r="E4" s="23"/>
      <c r="F4" s="23"/>
    </row>
    <row r="5" spans="3:14" s="16" customFormat="1" ht="17.25" customHeight="1">
      <c r="C5" s="14" t="s">
        <v>3</v>
      </c>
      <c r="D5" s="14"/>
      <c r="E5" s="13"/>
      <c r="F5" s="13"/>
      <c r="G5" s="13"/>
      <c r="H5" s="24"/>
      <c r="I5" s="12" t="s">
        <v>4</v>
      </c>
    </row>
    <row r="6" spans="3:14" s="16" customFormat="1" ht="13.5" customHeight="1">
      <c r="C6" s="14"/>
      <c r="D6" s="14"/>
      <c r="E6" s="25" t="s">
        <v>5</v>
      </c>
      <c r="F6" s="26" t="s">
        <v>6</v>
      </c>
      <c r="G6" s="27" t="s">
        <v>7</v>
      </c>
      <c r="H6" s="28" t="s">
        <v>8</v>
      </c>
      <c r="I6" s="12"/>
      <c r="M6" s="16" t="s">
        <v>9</v>
      </c>
    </row>
    <row r="7" spans="3:14" s="16" customFormat="1" ht="20.25" customHeight="1">
      <c r="C7" s="29" t="s">
        <v>10</v>
      </c>
      <c r="D7" s="30"/>
      <c r="E7" s="31"/>
      <c r="F7" s="32"/>
      <c r="G7" s="33"/>
      <c r="H7" s="34"/>
      <c r="I7" s="35"/>
      <c r="J7" s="16" t="s">
        <v>11</v>
      </c>
      <c r="K7" s="16" t="s">
        <v>12</v>
      </c>
      <c r="L7" s="16" t="s">
        <v>13</v>
      </c>
      <c r="M7" s="16" t="s">
        <v>14</v>
      </c>
      <c r="N7" s="16" t="s">
        <v>15</v>
      </c>
    </row>
    <row r="8" spans="3:14" s="36" customFormat="1" ht="13.2">
      <c r="C8" s="37" t="s">
        <v>16</v>
      </c>
      <c r="D8" s="38"/>
      <c r="E8" s="39" t="s">
        <v>290</v>
      </c>
      <c r="F8" s="40"/>
      <c r="G8" s="152" t="s">
        <v>295</v>
      </c>
      <c r="H8" s="42"/>
      <c r="I8" s="43" t="s">
        <v>13</v>
      </c>
      <c r="J8" s="44"/>
      <c r="K8" s="44"/>
      <c r="L8" s="44"/>
      <c r="M8" s="44">
        <f t="shared" ref="M8:M18" si="0">MIN(J8:L8)</f>
        <v>0</v>
      </c>
      <c r="N8" s="45" t="e">
        <f t="shared" ref="N8:N18" si="1">SUM(M8/E8)</f>
        <v>#VALUE!</v>
      </c>
    </row>
    <row r="9" spans="3:14" s="36" customFormat="1" ht="13.2">
      <c r="C9" s="37" t="s">
        <v>17</v>
      </c>
      <c r="D9" s="38"/>
      <c r="E9" s="39" t="s">
        <v>289</v>
      </c>
      <c r="F9" s="40"/>
      <c r="G9" s="152" t="s">
        <v>295</v>
      </c>
      <c r="H9" s="46"/>
      <c r="I9" s="43" t="s">
        <v>13</v>
      </c>
      <c r="J9" s="44"/>
      <c r="K9" s="44"/>
      <c r="L9" s="44"/>
      <c r="M9" s="44">
        <f t="shared" si="0"/>
        <v>0</v>
      </c>
      <c r="N9" s="45" t="e">
        <f t="shared" si="1"/>
        <v>#VALUE!</v>
      </c>
    </row>
    <row r="10" spans="3:14" s="36" customFormat="1" ht="13.2">
      <c r="C10" s="37" t="s">
        <v>18</v>
      </c>
      <c r="D10" s="38"/>
      <c r="E10" s="39"/>
      <c r="F10" s="40"/>
      <c r="G10" s="152"/>
      <c r="H10" s="46"/>
      <c r="I10" s="43" t="s">
        <v>13</v>
      </c>
      <c r="J10" s="44"/>
      <c r="K10" s="44"/>
      <c r="L10" s="44"/>
      <c r="M10" s="44">
        <f t="shared" si="0"/>
        <v>0</v>
      </c>
      <c r="N10" s="45" t="e">
        <f t="shared" si="1"/>
        <v>#DIV/0!</v>
      </c>
    </row>
    <row r="11" spans="3:14" s="36" customFormat="1" ht="13.2">
      <c r="C11" s="37" t="s">
        <v>19</v>
      </c>
      <c r="D11" s="38"/>
      <c r="E11" s="39"/>
      <c r="F11" s="40"/>
      <c r="G11" s="152"/>
      <c r="H11" s="46"/>
      <c r="I11" s="43" t="s">
        <v>13</v>
      </c>
      <c r="J11" s="44"/>
      <c r="K11" s="44"/>
      <c r="L11" s="44"/>
      <c r="M11" s="44">
        <f t="shared" si="0"/>
        <v>0</v>
      </c>
      <c r="N11" s="45" t="e">
        <f t="shared" si="1"/>
        <v>#DIV/0!</v>
      </c>
    </row>
    <row r="12" spans="3:14" s="36" customFormat="1" ht="13.2">
      <c r="C12" s="37" t="s">
        <v>20</v>
      </c>
      <c r="D12" s="38"/>
      <c r="E12" s="39" t="s">
        <v>288</v>
      </c>
      <c r="F12" s="40"/>
      <c r="G12" s="152" t="s">
        <v>295</v>
      </c>
      <c r="H12" s="46"/>
      <c r="I12" s="43" t="s">
        <v>13</v>
      </c>
      <c r="J12" s="44"/>
      <c r="K12" s="44"/>
      <c r="L12" s="44"/>
      <c r="M12" s="44">
        <f t="shared" si="0"/>
        <v>0</v>
      </c>
      <c r="N12" s="45" t="e">
        <f t="shared" si="1"/>
        <v>#VALUE!</v>
      </c>
    </row>
    <row r="13" spans="3:14" s="36" customFormat="1" ht="13.2">
      <c r="C13" s="47" t="s">
        <v>21</v>
      </c>
      <c r="D13" s="38"/>
      <c r="E13" s="39" t="s">
        <v>286</v>
      </c>
      <c r="F13" s="40"/>
      <c r="G13" s="152" t="s">
        <v>295</v>
      </c>
      <c r="H13" s="46"/>
      <c r="I13" s="43" t="s">
        <v>13</v>
      </c>
      <c r="J13" s="44"/>
      <c r="K13" s="44"/>
      <c r="L13" s="44"/>
      <c r="M13" s="44">
        <f t="shared" si="0"/>
        <v>0</v>
      </c>
      <c r="N13" s="45" t="e">
        <f t="shared" si="1"/>
        <v>#VALUE!</v>
      </c>
    </row>
    <row r="14" spans="3:14" s="36" customFormat="1" ht="13.2">
      <c r="C14" s="37" t="s">
        <v>22</v>
      </c>
      <c r="D14" s="38"/>
      <c r="E14" s="39" t="s">
        <v>287</v>
      </c>
      <c r="F14" s="40"/>
      <c r="G14" s="152" t="s">
        <v>315</v>
      </c>
      <c r="H14" s="46"/>
      <c r="I14" s="43" t="s">
        <v>13</v>
      </c>
      <c r="J14" s="44"/>
      <c r="K14" s="44"/>
      <c r="L14" s="44"/>
      <c r="M14" s="44">
        <f t="shared" si="0"/>
        <v>0</v>
      </c>
      <c r="N14" s="45" t="e">
        <f t="shared" si="1"/>
        <v>#VALUE!</v>
      </c>
    </row>
    <row r="15" spans="3:14" s="36" customFormat="1" ht="13.2">
      <c r="C15" s="47" t="s">
        <v>23</v>
      </c>
      <c r="D15" s="38"/>
      <c r="E15" s="39" t="s">
        <v>287</v>
      </c>
      <c r="F15" s="40"/>
      <c r="G15" s="152" t="s">
        <v>315</v>
      </c>
      <c r="H15" s="46"/>
      <c r="I15" s="43" t="s">
        <v>13</v>
      </c>
      <c r="J15" s="44"/>
      <c r="K15" s="44"/>
      <c r="L15" s="44"/>
      <c r="M15" s="44">
        <f t="shared" si="0"/>
        <v>0</v>
      </c>
      <c r="N15" s="45" t="e">
        <f t="shared" si="1"/>
        <v>#VALUE!</v>
      </c>
    </row>
    <row r="16" spans="3:14" s="36" customFormat="1" ht="13.2">
      <c r="C16" s="48" t="s">
        <v>24</v>
      </c>
      <c r="D16" s="38"/>
      <c r="E16" s="39" t="s">
        <v>291</v>
      </c>
      <c r="F16" s="40"/>
      <c r="G16" s="152" t="s">
        <v>295</v>
      </c>
      <c r="H16" s="46"/>
      <c r="I16" s="43" t="s">
        <v>13</v>
      </c>
      <c r="J16" s="44"/>
      <c r="K16" s="44"/>
      <c r="L16" s="44"/>
      <c r="M16" s="44">
        <f t="shared" si="0"/>
        <v>0</v>
      </c>
      <c r="N16" s="45" t="e">
        <f t="shared" si="1"/>
        <v>#VALUE!</v>
      </c>
    </row>
    <row r="17" spans="3:14" s="36" customFormat="1" ht="13.2">
      <c r="C17" s="48" t="s">
        <v>25</v>
      </c>
      <c r="D17" s="38"/>
      <c r="E17" s="39" t="s">
        <v>287</v>
      </c>
      <c r="F17" s="40"/>
      <c r="G17" s="152" t="s">
        <v>305</v>
      </c>
      <c r="H17" s="46"/>
      <c r="I17" s="43" t="s">
        <v>13</v>
      </c>
      <c r="J17" s="44"/>
      <c r="K17" s="44"/>
      <c r="L17" s="44"/>
      <c r="M17" s="44">
        <f t="shared" si="0"/>
        <v>0</v>
      </c>
      <c r="N17" s="45" t="e">
        <f t="shared" si="1"/>
        <v>#VALUE!</v>
      </c>
    </row>
    <row r="18" spans="3:14" s="36" customFormat="1" ht="13.2">
      <c r="C18" s="48" t="s">
        <v>26</v>
      </c>
      <c r="D18" s="38"/>
      <c r="E18" s="39" t="s">
        <v>287</v>
      </c>
      <c r="F18" s="40"/>
      <c r="G18" s="152" t="s">
        <v>315</v>
      </c>
      <c r="H18" s="46"/>
      <c r="I18" s="43" t="s">
        <v>13</v>
      </c>
      <c r="J18" s="44"/>
      <c r="K18" s="44"/>
      <c r="L18" s="44"/>
      <c r="M18" s="44">
        <f t="shared" si="0"/>
        <v>0</v>
      </c>
      <c r="N18" s="45" t="e">
        <f t="shared" si="1"/>
        <v>#VALUE!</v>
      </c>
    </row>
    <row r="19" spans="3:14" s="36" customFormat="1" ht="13.2">
      <c r="C19" s="48" t="s">
        <v>27</v>
      </c>
      <c r="D19" s="38"/>
      <c r="E19" s="39" t="s">
        <v>293</v>
      </c>
      <c r="F19" s="40"/>
      <c r="G19" s="152" t="s">
        <v>295</v>
      </c>
      <c r="H19" s="46"/>
      <c r="I19" s="43" t="s">
        <v>13</v>
      </c>
      <c r="J19" s="44"/>
      <c r="K19" s="44"/>
      <c r="L19" s="44"/>
      <c r="M19" s="44"/>
      <c r="N19" s="45"/>
    </row>
    <row r="20" spans="3:14" s="36" customFormat="1" ht="13.2">
      <c r="C20" s="48" t="s">
        <v>28</v>
      </c>
      <c r="D20" s="38"/>
      <c r="E20" s="39" t="s">
        <v>285</v>
      </c>
      <c r="F20" s="40"/>
      <c r="G20" s="152" t="s">
        <v>295</v>
      </c>
      <c r="H20" s="46"/>
      <c r="I20" s="43" t="s">
        <v>13</v>
      </c>
      <c r="J20" s="44"/>
      <c r="K20" s="44"/>
      <c r="L20" s="44"/>
      <c r="M20" s="44"/>
      <c r="N20" s="45"/>
    </row>
    <row r="21" spans="3:14" s="36" customFormat="1" ht="13.2">
      <c r="C21" s="48" t="s">
        <v>29</v>
      </c>
      <c r="D21" s="38"/>
      <c r="E21" s="39" t="s">
        <v>294</v>
      </c>
      <c r="F21" s="40"/>
      <c r="G21" s="152" t="s">
        <v>295</v>
      </c>
      <c r="H21" s="46"/>
      <c r="I21" s="43" t="s">
        <v>13</v>
      </c>
      <c r="J21" s="44"/>
      <c r="K21" s="44"/>
      <c r="L21" s="44"/>
      <c r="M21" s="44"/>
      <c r="N21" s="45"/>
    </row>
    <row r="22" spans="3:14" s="36" customFormat="1" ht="13.2">
      <c r="C22" s="48" t="s">
        <v>30</v>
      </c>
      <c r="D22" s="38"/>
      <c r="E22" s="39" t="s">
        <v>292</v>
      </c>
      <c r="F22" s="40"/>
      <c r="G22" s="152" t="s">
        <v>295</v>
      </c>
      <c r="H22" s="46"/>
      <c r="I22" s="43" t="s">
        <v>13</v>
      </c>
      <c r="J22" s="44"/>
      <c r="K22" s="44"/>
      <c r="L22" s="44"/>
      <c r="M22" s="44"/>
      <c r="N22" s="45"/>
    </row>
    <row r="23" spans="3:14" s="36" customFormat="1" ht="13.2">
      <c r="C23" s="49"/>
      <c r="D23" s="50"/>
      <c r="E23" s="39"/>
      <c r="F23" s="40"/>
      <c r="G23" s="152"/>
      <c r="H23" s="46"/>
      <c r="I23" s="51" t="s">
        <v>31</v>
      </c>
      <c r="J23" s="44"/>
      <c r="K23" s="44"/>
      <c r="L23" s="44"/>
      <c r="M23" s="44">
        <f t="shared" ref="M23:M39" si="2">MIN(J23:L23)</f>
        <v>0</v>
      </c>
      <c r="N23" s="45" t="e">
        <f t="shared" ref="N23:N39" si="3">SUM(M23/E23)</f>
        <v>#DIV/0!</v>
      </c>
    </row>
    <row r="24" spans="3:14" s="16" customFormat="1" ht="12.75" customHeight="1">
      <c r="C24" s="11" t="s">
        <v>32</v>
      </c>
      <c r="D24" s="11"/>
      <c r="E24" s="10"/>
      <c r="F24" s="10"/>
      <c r="G24" s="10"/>
      <c r="H24" s="52"/>
      <c r="I24" s="9" t="s">
        <v>4</v>
      </c>
      <c r="J24" s="53"/>
      <c r="K24" s="53"/>
      <c r="L24" s="53"/>
      <c r="M24" s="44">
        <f t="shared" si="2"/>
        <v>0</v>
      </c>
      <c r="N24" s="45" t="e">
        <f t="shared" si="3"/>
        <v>#DIV/0!</v>
      </c>
    </row>
    <row r="25" spans="3:14" s="16" customFormat="1" ht="15" customHeight="1">
      <c r="C25" s="11"/>
      <c r="D25" s="11"/>
      <c r="E25" s="54" t="s">
        <v>5</v>
      </c>
      <c r="F25" s="55" t="s">
        <v>6</v>
      </c>
      <c r="G25" s="56" t="s">
        <v>7</v>
      </c>
      <c r="H25" s="57" t="s">
        <v>8</v>
      </c>
      <c r="I25" s="9"/>
      <c r="J25" s="53"/>
      <c r="K25" s="53"/>
      <c r="L25" s="53"/>
      <c r="M25" s="44">
        <f t="shared" si="2"/>
        <v>0</v>
      </c>
      <c r="N25" s="45" t="e">
        <f t="shared" si="3"/>
        <v>#VALUE!</v>
      </c>
    </row>
    <row r="26" spans="3:14" s="36" customFormat="1" ht="13.2">
      <c r="C26" s="37" t="s">
        <v>33</v>
      </c>
      <c r="D26" s="38"/>
      <c r="E26" s="39" t="s">
        <v>295</v>
      </c>
      <c r="F26" s="40"/>
      <c r="G26" s="151" t="s">
        <v>295</v>
      </c>
      <c r="H26" s="46"/>
      <c r="I26" s="43" t="s">
        <v>13</v>
      </c>
      <c r="J26" s="44"/>
      <c r="K26" s="44"/>
      <c r="L26" s="44"/>
      <c r="M26" s="44">
        <f t="shared" si="2"/>
        <v>0</v>
      </c>
      <c r="N26" s="45" t="e">
        <f t="shared" si="3"/>
        <v>#VALUE!</v>
      </c>
    </row>
    <row r="27" spans="3:14" s="36" customFormat="1" ht="13.2">
      <c r="C27" s="37" t="s">
        <v>34</v>
      </c>
      <c r="D27" s="38"/>
      <c r="E27" s="39">
        <v>1</v>
      </c>
      <c r="F27" s="40"/>
      <c r="G27" s="151">
        <v>1</v>
      </c>
      <c r="H27" s="46"/>
      <c r="I27" s="43" t="s">
        <v>13</v>
      </c>
      <c r="J27" s="44"/>
      <c r="K27" s="44"/>
      <c r="L27" s="44"/>
      <c r="M27" s="44">
        <f t="shared" si="2"/>
        <v>0</v>
      </c>
      <c r="N27" s="45">
        <f t="shared" si="3"/>
        <v>0</v>
      </c>
    </row>
    <row r="28" spans="3:14" s="36" customFormat="1" ht="13.2">
      <c r="C28" s="37" t="s">
        <v>35</v>
      </c>
      <c r="D28" s="38"/>
      <c r="E28" s="39">
        <v>1</v>
      </c>
      <c r="F28" s="40"/>
      <c r="G28" s="151">
        <v>1</v>
      </c>
      <c r="H28" s="46"/>
      <c r="I28" s="43" t="s">
        <v>13</v>
      </c>
      <c r="J28" s="44"/>
      <c r="K28" s="44"/>
      <c r="L28" s="44"/>
      <c r="M28" s="44">
        <f t="shared" si="2"/>
        <v>0</v>
      </c>
      <c r="N28" s="45">
        <f t="shared" si="3"/>
        <v>0</v>
      </c>
    </row>
    <row r="29" spans="3:14" s="36" customFormat="1" ht="13.2">
      <c r="C29" s="37" t="s">
        <v>36</v>
      </c>
      <c r="D29" s="38"/>
      <c r="E29" s="39">
        <v>1</v>
      </c>
      <c r="F29" s="40"/>
      <c r="G29" s="151">
        <v>1</v>
      </c>
      <c r="H29" s="46"/>
      <c r="I29" s="43" t="s">
        <v>13</v>
      </c>
      <c r="J29" s="44"/>
      <c r="K29" s="44"/>
      <c r="L29" s="44"/>
      <c r="M29" s="44">
        <f t="shared" si="2"/>
        <v>0</v>
      </c>
      <c r="N29" s="45">
        <f t="shared" si="3"/>
        <v>0</v>
      </c>
    </row>
    <row r="30" spans="3:14" s="36" customFormat="1" ht="13.2">
      <c r="C30" s="47" t="s">
        <v>37</v>
      </c>
      <c r="D30" s="38"/>
      <c r="E30" s="39">
        <v>1</v>
      </c>
      <c r="F30" s="40"/>
      <c r="G30" s="151">
        <v>1</v>
      </c>
      <c r="H30" s="46"/>
      <c r="I30" s="43" t="s">
        <v>13</v>
      </c>
      <c r="J30" s="44"/>
      <c r="K30" s="44"/>
      <c r="L30" s="44"/>
      <c r="M30" s="44">
        <f t="shared" si="2"/>
        <v>0</v>
      </c>
      <c r="N30" s="45">
        <f t="shared" si="3"/>
        <v>0</v>
      </c>
    </row>
    <row r="31" spans="3:14" s="36" customFormat="1" ht="13.2">
      <c r="C31" s="48" t="s">
        <v>38</v>
      </c>
      <c r="D31" s="38"/>
      <c r="E31" s="39">
        <v>1</v>
      </c>
      <c r="F31" s="40"/>
      <c r="G31" s="151">
        <v>1</v>
      </c>
      <c r="H31" s="46"/>
      <c r="I31" s="43" t="s">
        <v>13</v>
      </c>
      <c r="J31" s="44"/>
      <c r="K31" s="44"/>
      <c r="L31" s="44"/>
      <c r="M31" s="44">
        <f t="shared" si="2"/>
        <v>0</v>
      </c>
      <c r="N31" s="45">
        <f t="shared" si="3"/>
        <v>0</v>
      </c>
    </row>
    <row r="32" spans="3:14" s="36" customFormat="1" ht="13.2">
      <c r="C32" s="48" t="s">
        <v>39</v>
      </c>
      <c r="D32" s="38"/>
      <c r="E32" s="39">
        <v>1</v>
      </c>
      <c r="F32" s="40"/>
      <c r="G32" s="151">
        <v>1</v>
      </c>
      <c r="H32" s="46"/>
      <c r="I32" s="43" t="s">
        <v>13</v>
      </c>
      <c r="J32" s="44"/>
      <c r="K32" s="44"/>
      <c r="L32" s="44"/>
      <c r="M32" s="44">
        <f t="shared" si="2"/>
        <v>0</v>
      </c>
      <c r="N32" s="45">
        <f t="shared" si="3"/>
        <v>0</v>
      </c>
    </row>
    <row r="33" spans="3:14" s="36" customFormat="1" ht="13.2">
      <c r="C33" s="48" t="s">
        <v>40</v>
      </c>
      <c r="D33" s="38"/>
      <c r="E33" s="39">
        <v>1</v>
      </c>
      <c r="F33" s="40"/>
      <c r="G33" s="151">
        <v>1</v>
      </c>
      <c r="H33" s="46"/>
      <c r="I33" s="43" t="s">
        <v>13</v>
      </c>
      <c r="J33" s="44"/>
      <c r="K33" s="44"/>
      <c r="L33" s="44"/>
      <c r="M33" s="44">
        <f t="shared" si="2"/>
        <v>0</v>
      </c>
      <c r="N33" s="45">
        <f t="shared" si="3"/>
        <v>0</v>
      </c>
    </row>
    <row r="34" spans="3:14" s="36" customFormat="1" ht="13.2">
      <c r="C34" s="48" t="s">
        <v>41</v>
      </c>
      <c r="D34" s="38"/>
      <c r="E34" s="39">
        <v>1</v>
      </c>
      <c r="F34" s="40"/>
      <c r="G34" s="151">
        <v>1</v>
      </c>
      <c r="H34" s="46"/>
      <c r="I34" s="43" t="s">
        <v>13</v>
      </c>
      <c r="J34" s="44"/>
      <c r="K34" s="44"/>
      <c r="L34" s="44"/>
      <c r="M34" s="44">
        <f t="shared" si="2"/>
        <v>0</v>
      </c>
      <c r="N34" s="45">
        <f t="shared" si="3"/>
        <v>0</v>
      </c>
    </row>
    <row r="35" spans="3:14" s="16" customFormat="1" ht="12.75" customHeight="1">
      <c r="C35" s="11" t="s">
        <v>42</v>
      </c>
      <c r="D35" s="11"/>
      <c r="E35" s="10"/>
      <c r="F35" s="10"/>
      <c r="G35" s="10"/>
      <c r="H35" s="52"/>
      <c r="I35" s="9" t="s">
        <v>4</v>
      </c>
      <c r="J35" s="53"/>
      <c r="K35" s="53"/>
      <c r="L35" s="53"/>
      <c r="M35" s="44">
        <f t="shared" si="2"/>
        <v>0</v>
      </c>
      <c r="N35" s="45" t="e">
        <f t="shared" si="3"/>
        <v>#DIV/0!</v>
      </c>
    </row>
    <row r="36" spans="3:14" s="16" customFormat="1" ht="15" customHeight="1">
      <c r="C36" s="11"/>
      <c r="D36" s="11"/>
      <c r="E36" s="54" t="s">
        <v>43</v>
      </c>
      <c r="F36" s="55" t="s">
        <v>6</v>
      </c>
      <c r="G36" s="56" t="s">
        <v>7</v>
      </c>
      <c r="H36" s="57" t="s">
        <v>8</v>
      </c>
      <c r="I36" s="9"/>
      <c r="J36" s="53"/>
      <c r="K36" s="53"/>
      <c r="L36" s="53"/>
      <c r="M36" s="44">
        <f t="shared" si="2"/>
        <v>0</v>
      </c>
      <c r="N36" s="45" t="e">
        <f t="shared" si="3"/>
        <v>#VALUE!</v>
      </c>
    </row>
    <row r="37" spans="3:14" s="36" customFormat="1" ht="13.2">
      <c r="C37" s="48" t="s">
        <v>44</v>
      </c>
      <c r="D37" s="38"/>
      <c r="E37" s="39" t="s">
        <v>296</v>
      </c>
      <c r="F37" s="40"/>
      <c r="G37" s="41" t="s">
        <v>295</v>
      </c>
      <c r="H37" s="46"/>
      <c r="I37" s="43" t="s">
        <v>13</v>
      </c>
      <c r="J37" s="44"/>
      <c r="K37" s="44"/>
      <c r="L37" s="44"/>
      <c r="M37" s="44">
        <f t="shared" si="2"/>
        <v>0</v>
      </c>
      <c r="N37" s="45" t="e">
        <f t="shared" si="3"/>
        <v>#VALUE!</v>
      </c>
    </row>
    <row r="38" spans="3:14" s="36" customFormat="1" ht="13.2">
      <c r="C38" s="48" t="s">
        <v>45</v>
      </c>
      <c r="D38" s="38"/>
      <c r="E38" s="39" t="s">
        <v>288</v>
      </c>
      <c r="F38" s="40"/>
      <c r="G38" s="41" t="s">
        <v>297</v>
      </c>
      <c r="H38" s="46"/>
      <c r="I38" s="43" t="s">
        <v>13</v>
      </c>
      <c r="J38" s="44"/>
      <c r="K38" s="44"/>
      <c r="L38" s="44"/>
      <c r="M38" s="44">
        <f t="shared" si="2"/>
        <v>0</v>
      </c>
      <c r="N38" s="45" t="e">
        <f t="shared" si="3"/>
        <v>#VALUE!</v>
      </c>
    </row>
    <row r="39" spans="3:14" s="36" customFormat="1" ht="13.2">
      <c r="C39" s="48" t="s">
        <v>46</v>
      </c>
      <c r="D39" s="38"/>
      <c r="E39" s="39" t="s">
        <v>287</v>
      </c>
      <c r="F39" s="40"/>
      <c r="G39" s="41" t="s">
        <v>315</v>
      </c>
      <c r="H39" s="46"/>
      <c r="I39" s="43" t="s">
        <v>13</v>
      </c>
      <c r="J39" s="44"/>
      <c r="K39" s="44"/>
      <c r="L39" s="44"/>
      <c r="M39" s="44">
        <f t="shared" si="2"/>
        <v>0</v>
      </c>
      <c r="N39" s="45" t="e">
        <f t="shared" si="3"/>
        <v>#VALUE!</v>
      </c>
    </row>
    <row r="40" spans="3:14" s="36" customFormat="1" ht="13.2">
      <c r="C40" s="48" t="s">
        <v>47</v>
      </c>
      <c r="D40" s="38"/>
      <c r="E40" s="39" t="s">
        <v>287</v>
      </c>
      <c r="F40" s="40"/>
      <c r="G40" s="41" t="s">
        <v>315</v>
      </c>
      <c r="H40" s="46"/>
      <c r="I40" s="43" t="s">
        <v>13</v>
      </c>
      <c r="J40" s="44"/>
      <c r="K40" s="44"/>
      <c r="L40" s="44"/>
      <c r="M40" s="44"/>
      <c r="N40" s="45"/>
    </row>
    <row r="41" spans="3:14" s="36" customFormat="1" ht="13.2">
      <c r="C41" s="48" t="s">
        <v>48</v>
      </c>
      <c r="D41" s="38"/>
      <c r="E41" s="39" t="s">
        <v>298</v>
      </c>
      <c r="F41" s="40"/>
      <c r="G41" s="41" t="s">
        <v>295</v>
      </c>
      <c r="H41" s="46"/>
      <c r="I41" s="43" t="s">
        <v>13</v>
      </c>
      <c r="J41" s="44"/>
      <c r="K41" s="44"/>
      <c r="L41" s="44"/>
      <c r="M41" s="44"/>
      <c r="N41" s="45"/>
    </row>
    <row r="42" spans="3:14" s="36" customFormat="1" ht="13.2">
      <c r="C42" s="48"/>
      <c r="D42" s="38"/>
      <c r="E42" s="39"/>
      <c r="F42" s="40"/>
      <c r="G42" s="41"/>
      <c r="H42" s="46"/>
      <c r="I42" s="43" t="s">
        <v>13</v>
      </c>
      <c r="J42" s="44"/>
      <c r="K42" s="44"/>
      <c r="L42" s="44"/>
      <c r="M42" s="44"/>
      <c r="N42" s="45"/>
    </row>
    <row r="43" spans="3:14" s="36" customFormat="1" ht="13.2">
      <c r="C43" s="48" t="s">
        <v>49</v>
      </c>
      <c r="D43" s="38"/>
      <c r="E43" s="39" t="s">
        <v>287</v>
      </c>
      <c r="F43" s="40"/>
      <c r="G43" s="41" t="s">
        <v>295</v>
      </c>
      <c r="H43" s="46"/>
      <c r="I43" s="43" t="s">
        <v>13</v>
      </c>
      <c r="J43" s="44"/>
      <c r="K43" s="44"/>
      <c r="L43" s="44"/>
      <c r="M43" s="44"/>
      <c r="N43" s="45"/>
    </row>
    <row r="44" spans="3:14" s="36" customFormat="1" ht="13.2">
      <c r="C44" s="48"/>
      <c r="D44" s="38"/>
      <c r="E44" s="39"/>
      <c r="F44" s="40"/>
      <c r="G44" s="41"/>
      <c r="H44" s="46"/>
      <c r="I44" s="43"/>
      <c r="J44" s="44"/>
      <c r="K44" s="44"/>
      <c r="L44" s="44"/>
      <c r="M44" s="44"/>
      <c r="N44" s="45"/>
    </row>
    <row r="45" spans="3:14" s="36" customFormat="1" ht="13.2">
      <c r="C45" s="48" t="s">
        <v>50</v>
      </c>
      <c r="D45" s="38"/>
      <c r="E45" s="39" t="s">
        <v>287</v>
      </c>
      <c r="F45" s="40"/>
      <c r="G45" s="41" t="s">
        <v>315</v>
      </c>
      <c r="H45" s="46"/>
      <c r="I45" s="43" t="s">
        <v>13</v>
      </c>
      <c r="J45" s="44"/>
      <c r="K45" s="44"/>
      <c r="L45" s="44"/>
      <c r="M45" s="44"/>
      <c r="N45" s="45"/>
    </row>
    <row r="46" spans="3:14" s="36" customFormat="1" ht="13.2">
      <c r="C46" s="48"/>
      <c r="D46" s="40"/>
      <c r="E46" s="39"/>
      <c r="F46" s="40"/>
      <c r="G46" s="41"/>
      <c r="H46" s="46"/>
      <c r="I46" s="43"/>
      <c r="J46" s="44"/>
      <c r="K46" s="44"/>
      <c r="L46" s="44"/>
      <c r="M46" s="44">
        <f>MIN(J46:L46)</f>
        <v>0</v>
      </c>
      <c r="N46" s="45" t="e">
        <f>SUM(M46/E46)</f>
        <v>#DIV/0!</v>
      </c>
    </row>
    <row r="47" spans="3:14" s="16" customFormat="1" ht="12.75" customHeight="1">
      <c r="C47" s="11" t="s">
        <v>51</v>
      </c>
      <c r="D47" s="11"/>
      <c r="E47" s="10"/>
      <c r="F47" s="10"/>
      <c r="G47" s="10"/>
      <c r="H47" s="52"/>
      <c r="I47" s="9" t="s">
        <v>4</v>
      </c>
      <c r="J47" s="53"/>
      <c r="K47" s="53"/>
      <c r="L47" s="53"/>
      <c r="M47" s="44">
        <f>MIN(J47:L47)</f>
        <v>0</v>
      </c>
      <c r="N47" s="45" t="e">
        <f>SUM(M47/E47)</f>
        <v>#DIV/0!</v>
      </c>
    </row>
    <row r="48" spans="3:14" s="16" customFormat="1" ht="15" customHeight="1">
      <c r="C48" s="11"/>
      <c r="D48" s="11"/>
      <c r="E48" s="54" t="s">
        <v>6</v>
      </c>
      <c r="F48" s="55"/>
      <c r="G48" s="56" t="s">
        <v>7</v>
      </c>
      <c r="H48" s="57" t="s">
        <v>8</v>
      </c>
      <c r="I48" s="9"/>
      <c r="J48" s="53"/>
      <c r="K48" s="53"/>
      <c r="L48" s="53"/>
      <c r="M48" s="44">
        <f>MIN(J48:L48)</f>
        <v>0</v>
      </c>
      <c r="N48" s="45" t="e">
        <f>SUM(M48/E48)</f>
        <v>#VALUE!</v>
      </c>
    </row>
    <row r="49" spans="3:14" s="36" customFormat="1" ht="13.2">
      <c r="C49" s="48" t="s">
        <v>52</v>
      </c>
      <c r="D49" s="38"/>
      <c r="E49" s="39" t="s">
        <v>300</v>
      </c>
      <c r="F49" s="40"/>
      <c r="G49" s="41" t="s">
        <v>305</v>
      </c>
      <c r="H49" s="46"/>
      <c r="I49" s="43" t="s">
        <v>13</v>
      </c>
      <c r="J49" s="44"/>
      <c r="K49" s="44"/>
      <c r="L49" s="44"/>
      <c r="M49" s="44">
        <f>MIN(J49:L49)</f>
        <v>0</v>
      </c>
      <c r="N49" s="45" t="e">
        <f>SUM(M49/E49)</f>
        <v>#VALUE!</v>
      </c>
    </row>
    <row r="50" spans="3:14" s="36" customFormat="1" ht="13.2">
      <c r="C50" s="48" t="s">
        <v>53</v>
      </c>
      <c r="D50" s="38"/>
      <c r="E50" s="39" t="s">
        <v>301</v>
      </c>
      <c r="F50" s="40"/>
      <c r="G50" s="41" t="s">
        <v>307</v>
      </c>
      <c r="H50" s="46"/>
      <c r="I50" s="43" t="s">
        <v>13</v>
      </c>
      <c r="J50" s="44"/>
      <c r="K50" s="44"/>
      <c r="L50" s="44"/>
      <c r="M50" s="44">
        <f>MIN(J50:L50)</f>
        <v>0</v>
      </c>
      <c r="N50" s="45" t="e">
        <f>SUM(M50/E50)</f>
        <v>#VALUE!</v>
      </c>
    </row>
    <row r="51" spans="3:14" s="36" customFormat="1" ht="13.2">
      <c r="C51" s="48" t="s">
        <v>54</v>
      </c>
      <c r="D51" s="38"/>
      <c r="E51" s="39" t="s">
        <v>302</v>
      </c>
      <c r="F51" s="40"/>
      <c r="G51" s="41" t="s">
        <v>295</v>
      </c>
      <c r="H51" s="46"/>
      <c r="I51" s="43" t="s">
        <v>13</v>
      </c>
      <c r="J51" s="44"/>
      <c r="K51" s="44"/>
      <c r="L51" s="44"/>
      <c r="M51" s="44"/>
      <c r="N51" s="45"/>
    </row>
    <row r="52" spans="3:14" s="36" customFormat="1" ht="13.2">
      <c r="C52" s="48" t="s">
        <v>55</v>
      </c>
      <c r="D52" s="38"/>
      <c r="E52" s="39" t="s">
        <v>303</v>
      </c>
      <c r="F52" s="40"/>
      <c r="G52" s="41" t="s">
        <v>307</v>
      </c>
      <c r="H52" s="46"/>
      <c r="I52" s="43" t="s">
        <v>13</v>
      </c>
      <c r="J52" s="44"/>
      <c r="K52" s="44"/>
      <c r="L52" s="44"/>
      <c r="M52" s="44"/>
      <c r="N52" s="45"/>
    </row>
    <row r="53" spans="3:14" s="36" customFormat="1" ht="13.2">
      <c r="C53" s="48" t="s">
        <v>56</v>
      </c>
      <c r="D53" s="38"/>
      <c r="E53" s="39" t="s">
        <v>287</v>
      </c>
      <c r="F53" s="40"/>
      <c r="G53" s="41" t="s">
        <v>295</v>
      </c>
      <c r="H53" s="46"/>
      <c r="I53" s="43" t="s">
        <v>13</v>
      </c>
      <c r="J53" s="44"/>
      <c r="K53" s="44"/>
      <c r="L53" s="44"/>
      <c r="M53" s="44"/>
      <c r="N53" s="45"/>
    </row>
    <row r="54" spans="3:14" s="36" customFormat="1" ht="13.2">
      <c r="C54" s="48" t="s">
        <v>299</v>
      </c>
      <c r="D54" s="38"/>
      <c r="E54" s="39" t="s">
        <v>304</v>
      </c>
      <c r="F54" s="40"/>
      <c r="G54" s="41" t="s">
        <v>305</v>
      </c>
      <c r="H54" s="46"/>
      <c r="I54" s="43" t="s">
        <v>13</v>
      </c>
      <c r="J54" s="44"/>
      <c r="K54" s="44"/>
      <c r="L54" s="44"/>
      <c r="M54" s="44"/>
      <c r="N54" s="45"/>
    </row>
    <row r="55" spans="3:14" s="36" customFormat="1" ht="13.2">
      <c r="C55" s="48" t="s">
        <v>57</v>
      </c>
      <c r="D55" s="38"/>
      <c r="E55" s="39" t="s">
        <v>306</v>
      </c>
      <c r="F55" s="40"/>
      <c r="G55" s="41" t="s">
        <v>295</v>
      </c>
      <c r="H55" s="46"/>
      <c r="I55" s="43" t="s">
        <v>13</v>
      </c>
      <c r="J55" s="44"/>
      <c r="K55" s="44"/>
      <c r="L55" s="44"/>
      <c r="M55" s="44"/>
      <c r="N55" s="45"/>
    </row>
    <row r="56" spans="3:14" s="36" customFormat="1" ht="13.2">
      <c r="C56" s="48" t="s">
        <v>58</v>
      </c>
      <c r="D56" s="38"/>
      <c r="E56" s="39" t="s">
        <v>301</v>
      </c>
      <c r="F56" s="40"/>
      <c r="G56" s="41" t="s">
        <v>295</v>
      </c>
      <c r="H56" s="46"/>
      <c r="I56" s="43" t="s">
        <v>13</v>
      </c>
      <c r="J56" s="44"/>
      <c r="K56" s="44"/>
      <c r="L56" s="44"/>
      <c r="M56" s="44"/>
      <c r="N56" s="45"/>
    </row>
    <row r="57" spans="3:14" s="36" customFormat="1" ht="13.2">
      <c r="C57" s="48" t="s">
        <v>59</v>
      </c>
      <c r="D57" s="38"/>
      <c r="E57" s="39" t="s">
        <v>308</v>
      </c>
      <c r="F57" s="40"/>
      <c r="G57" s="41" t="s">
        <v>308</v>
      </c>
      <c r="H57" s="46"/>
      <c r="I57" s="43" t="s">
        <v>13</v>
      </c>
      <c r="J57" s="44"/>
      <c r="K57" s="44"/>
      <c r="L57" s="44"/>
      <c r="M57" s="44"/>
      <c r="N57" s="45"/>
    </row>
    <row r="58" spans="3:14" s="36" customFormat="1" ht="13.2">
      <c r="C58" s="48" t="s">
        <v>60</v>
      </c>
      <c r="D58" s="38"/>
      <c r="E58" s="39" t="s">
        <v>309</v>
      </c>
      <c r="F58" s="40"/>
      <c r="G58" s="41" t="s">
        <v>313</v>
      </c>
      <c r="H58" s="46"/>
      <c r="I58" s="43" t="s">
        <v>13</v>
      </c>
      <c r="J58" s="44"/>
      <c r="K58" s="44"/>
      <c r="L58" s="44"/>
      <c r="M58" s="44"/>
      <c r="N58" s="45"/>
    </row>
    <row r="59" spans="3:14" s="36" customFormat="1" ht="13.2">
      <c r="C59" s="48" t="s">
        <v>61</v>
      </c>
      <c r="D59" s="38"/>
      <c r="E59" s="39">
        <v>1</v>
      </c>
      <c r="F59" s="40"/>
      <c r="G59" s="41" t="s">
        <v>314</v>
      </c>
      <c r="H59" s="46"/>
      <c r="I59" s="43" t="s">
        <v>13</v>
      </c>
      <c r="J59" s="44"/>
      <c r="K59" s="44"/>
      <c r="L59" s="44"/>
      <c r="M59" s="44"/>
      <c r="N59" s="45"/>
    </row>
    <row r="60" spans="3:14" s="36" customFormat="1" ht="13.2">
      <c r="C60" s="48"/>
      <c r="D60" s="38"/>
      <c r="E60" s="39"/>
      <c r="F60" s="40"/>
      <c r="G60" s="41"/>
      <c r="H60" s="46"/>
      <c r="I60" s="43" t="s">
        <v>13</v>
      </c>
      <c r="J60" s="44"/>
      <c r="K60" s="44"/>
      <c r="L60" s="44"/>
      <c r="M60" s="44"/>
      <c r="N60" s="45"/>
    </row>
    <row r="61" spans="3:14" s="36" customFormat="1" ht="13.2">
      <c r="C61" s="48" t="s">
        <v>62</v>
      </c>
      <c r="D61" s="38"/>
      <c r="E61" s="39" t="s">
        <v>310</v>
      </c>
      <c r="F61" s="40"/>
      <c r="G61" s="41" t="s">
        <v>312</v>
      </c>
      <c r="H61" s="46"/>
      <c r="I61" s="43" t="s">
        <v>311</v>
      </c>
      <c r="J61" s="44"/>
      <c r="K61" s="44"/>
      <c r="L61" s="44"/>
      <c r="M61" s="44"/>
      <c r="N61" s="45"/>
    </row>
    <row r="62" spans="3:14" s="36" customFormat="1" ht="13.2">
      <c r="C62" s="48" t="s">
        <v>63</v>
      </c>
      <c r="D62" s="38"/>
      <c r="E62" s="39" t="s">
        <v>296</v>
      </c>
      <c r="F62" s="40"/>
      <c r="G62" s="41" t="s">
        <v>295</v>
      </c>
      <c r="H62" s="46"/>
      <c r="I62" s="43" t="s">
        <v>13</v>
      </c>
      <c r="J62" s="44"/>
      <c r="K62" s="44"/>
      <c r="L62" s="44"/>
      <c r="M62" s="44"/>
      <c r="N62" s="45"/>
    </row>
    <row r="63" spans="3:14" s="36" customFormat="1" ht="13.2">
      <c r="C63" s="48" t="s">
        <v>64</v>
      </c>
      <c r="D63" s="38"/>
      <c r="E63" s="39" t="s">
        <v>310</v>
      </c>
      <c r="F63" s="40"/>
      <c r="G63" s="41" t="s">
        <v>310</v>
      </c>
      <c r="H63" s="46"/>
      <c r="I63" s="43" t="s">
        <v>316</v>
      </c>
      <c r="J63" s="44"/>
      <c r="K63" s="44"/>
      <c r="L63" s="44"/>
      <c r="M63" s="44"/>
      <c r="N63" s="45"/>
    </row>
    <row r="64" spans="3:14" s="36" customFormat="1" ht="13.2">
      <c r="C64" s="48" t="s">
        <v>65</v>
      </c>
      <c r="D64" s="38"/>
      <c r="E64" s="39" t="s">
        <v>303</v>
      </c>
      <c r="F64" s="40"/>
      <c r="G64" s="41" t="s">
        <v>317</v>
      </c>
      <c r="H64" s="46"/>
      <c r="I64" s="43" t="s">
        <v>13</v>
      </c>
      <c r="J64" s="44"/>
      <c r="K64" s="44"/>
      <c r="L64" s="44"/>
      <c r="M64" s="44"/>
      <c r="N64" s="45"/>
    </row>
    <row r="65" spans="3:14" s="36" customFormat="1" ht="13.2">
      <c r="C65" s="48" t="s">
        <v>66</v>
      </c>
      <c r="D65" s="38"/>
      <c r="E65" s="39" t="s">
        <v>318</v>
      </c>
      <c r="F65" s="40"/>
      <c r="G65" s="41" t="s">
        <v>313</v>
      </c>
      <c r="H65" s="46"/>
      <c r="I65" s="43" t="s">
        <v>13</v>
      </c>
      <c r="J65" s="44"/>
      <c r="K65" s="44"/>
      <c r="L65" s="44"/>
      <c r="M65" s="44"/>
      <c r="N65" s="45"/>
    </row>
    <row r="66" spans="3:14" s="36" customFormat="1" ht="13.2">
      <c r="C66" s="48" t="s">
        <v>67</v>
      </c>
      <c r="D66" s="38"/>
      <c r="E66" s="39" t="s">
        <v>319</v>
      </c>
      <c r="F66" s="40"/>
      <c r="G66" s="41" t="s">
        <v>295</v>
      </c>
      <c r="H66" s="46"/>
      <c r="I66" s="43" t="s">
        <v>13</v>
      </c>
      <c r="J66" s="44"/>
      <c r="K66" s="44"/>
      <c r="L66" s="44"/>
      <c r="M66" s="44"/>
      <c r="N66" s="45"/>
    </row>
    <row r="67" spans="3:14" s="36" customFormat="1" ht="13.2">
      <c r="C67" s="48" t="s">
        <v>68</v>
      </c>
      <c r="D67" s="38"/>
      <c r="E67" s="39" t="s">
        <v>294</v>
      </c>
      <c r="F67" s="40"/>
      <c r="G67" s="41" t="s">
        <v>295</v>
      </c>
      <c r="H67" s="46"/>
      <c r="I67" s="43" t="s">
        <v>13</v>
      </c>
      <c r="J67" s="44"/>
      <c r="K67" s="44"/>
      <c r="L67" s="44"/>
      <c r="M67" s="44"/>
      <c r="N67" s="45"/>
    </row>
    <row r="68" spans="3:14" s="36" customFormat="1" ht="13.2">
      <c r="C68" s="48" t="s">
        <v>69</v>
      </c>
      <c r="D68" s="38"/>
      <c r="E68" s="39" t="s">
        <v>320</v>
      </c>
      <c r="F68" s="40"/>
      <c r="G68" s="41" t="s">
        <v>314</v>
      </c>
      <c r="H68" s="46"/>
      <c r="I68" s="43" t="s">
        <v>311</v>
      </c>
      <c r="J68" s="44"/>
      <c r="K68" s="44"/>
      <c r="L68" s="44"/>
      <c r="M68" s="44"/>
      <c r="N68" s="45"/>
    </row>
    <row r="69" spans="3:14" s="36" customFormat="1" ht="13.2">
      <c r="C69" s="48" t="s">
        <v>70</v>
      </c>
      <c r="D69" s="38"/>
      <c r="E69" s="39" t="s">
        <v>296</v>
      </c>
      <c r="F69" s="40"/>
      <c r="G69" s="41" t="s">
        <v>295</v>
      </c>
      <c r="H69" s="46"/>
      <c r="I69" s="43" t="s">
        <v>13</v>
      </c>
      <c r="J69" s="44"/>
      <c r="K69" s="44"/>
      <c r="L69" s="44"/>
      <c r="M69" s="44"/>
      <c r="N69" s="45"/>
    </row>
    <row r="70" spans="3:14" s="36" customFormat="1" ht="13.2">
      <c r="C70" s="48" t="s">
        <v>71</v>
      </c>
      <c r="D70" s="38"/>
      <c r="E70" s="39" t="s">
        <v>294</v>
      </c>
      <c r="F70" s="40"/>
      <c r="G70" s="41" t="s">
        <v>295</v>
      </c>
      <c r="H70" s="46"/>
      <c r="I70" s="43" t="s">
        <v>13</v>
      </c>
      <c r="J70" s="44"/>
      <c r="K70" s="44"/>
      <c r="L70" s="44"/>
      <c r="M70" s="44"/>
      <c r="N70" s="45"/>
    </row>
    <row r="71" spans="3:14" s="36" customFormat="1" ht="13.2">
      <c r="C71" s="48" t="s">
        <v>72</v>
      </c>
      <c r="D71" s="38"/>
      <c r="E71" s="39" t="s">
        <v>301</v>
      </c>
      <c r="F71" s="40"/>
      <c r="G71" s="41" t="s">
        <v>314</v>
      </c>
      <c r="H71" s="46"/>
      <c r="I71" s="43" t="s">
        <v>311</v>
      </c>
      <c r="J71" s="44"/>
      <c r="K71" s="44"/>
      <c r="L71" s="44"/>
      <c r="M71" s="44"/>
      <c r="N71" s="45"/>
    </row>
    <row r="72" spans="3:14" s="36" customFormat="1" ht="13.2">
      <c r="C72" s="48"/>
      <c r="D72" s="38"/>
      <c r="E72" s="39"/>
      <c r="F72" s="40"/>
      <c r="G72" s="41"/>
      <c r="H72" s="46"/>
      <c r="I72" s="43" t="s">
        <v>13</v>
      </c>
      <c r="J72" s="44"/>
      <c r="K72" s="44"/>
      <c r="L72" s="44"/>
      <c r="M72" s="44"/>
      <c r="N72" s="45"/>
    </row>
    <row r="73" spans="3:14" s="36" customFormat="1" ht="13.2">
      <c r="C73" s="48" t="s">
        <v>73</v>
      </c>
      <c r="D73" s="38"/>
      <c r="E73" s="39" t="s">
        <v>287</v>
      </c>
      <c r="F73" s="40"/>
      <c r="G73" s="41" t="s">
        <v>315</v>
      </c>
      <c r="H73" s="46"/>
      <c r="I73" s="43" t="s">
        <v>13</v>
      </c>
      <c r="J73" s="44"/>
      <c r="K73" s="44"/>
      <c r="L73" s="44"/>
      <c r="M73" s="44"/>
      <c r="N73" s="45"/>
    </row>
    <row r="74" spans="3:14" s="36" customFormat="1" ht="13.2">
      <c r="C74" s="48" t="s">
        <v>74</v>
      </c>
      <c r="D74" s="38"/>
      <c r="E74" s="39" t="s">
        <v>303</v>
      </c>
      <c r="F74" s="40"/>
      <c r="G74" s="41" t="s">
        <v>303</v>
      </c>
      <c r="H74" s="46"/>
      <c r="I74" s="43" t="s">
        <v>311</v>
      </c>
      <c r="J74" s="44"/>
      <c r="K74" s="44"/>
      <c r="L74" s="44"/>
      <c r="M74" s="44"/>
      <c r="N74" s="45"/>
    </row>
    <row r="75" spans="3:14" s="36" customFormat="1" ht="13.2">
      <c r="C75" s="48"/>
      <c r="D75" s="38"/>
      <c r="E75" s="39"/>
      <c r="F75" s="40"/>
      <c r="G75" s="41"/>
      <c r="H75" s="46"/>
      <c r="I75" s="43" t="s">
        <v>13</v>
      </c>
      <c r="J75" s="44"/>
      <c r="K75" s="44"/>
      <c r="L75" s="44"/>
      <c r="M75" s="44"/>
      <c r="N75" s="45"/>
    </row>
    <row r="76" spans="3:14" s="16" customFormat="1" ht="12.75" customHeight="1">
      <c r="C76" s="11" t="s">
        <v>75</v>
      </c>
      <c r="D76" s="11"/>
      <c r="E76" s="10"/>
      <c r="F76" s="10"/>
      <c r="G76" s="10"/>
      <c r="H76" s="52"/>
      <c r="I76" s="9" t="s">
        <v>4</v>
      </c>
      <c r="J76" s="53"/>
      <c r="K76" s="53"/>
      <c r="L76" s="53"/>
      <c r="M76" s="44">
        <f t="shared" ref="M76:M82" si="4">MIN(J76:L76)</f>
        <v>0</v>
      </c>
      <c r="N76" s="45" t="e">
        <f t="shared" ref="N76:N82" si="5">SUM(M76/E76)</f>
        <v>#DIV/0!</v>
      </c>
    </row>
    <row r="77" spans="3:14" s="16" customFormat="1" ht="15" customHeight="1">
      <c r="C77" s="11"/>
      <c r="D77" s="11"/>
      <c r="E77" s="54" t="s">
        <v>6</v>
      </c>
      <c r="F77" s="55"/>
      <c r="G77" s="56" t="s">
        <v>7</v>
      </c>
      <c r="H77" s="57" t="s">
        <v>8</v>
      </c>
      <c r="I77" s="9"/>
      <c r="J77" s="53"/>
      <c r="K77" s="53"/>
      <c r="L77" s="53"/>
      <c r="M77" s="44">
        <f t="shared" si="4"/>
        <v>0</v>
      </c>
      <c r="N77" s="45" t="e">
        <f t="shared" si="5"/>
        <v>#VALUE!</v>
      </c>
    </row>
    <row r="78" spans="3:14" s="36" customFormat="1" ht="13.2">
      <c r="C78" s="37" t="s">
        <v>76</v>
      </c>
      <c r="D78" s="38"/>
      <c r="E78" s="39" t="s">
        <v>325</v>
      </c>
      <c r="F78" s="40"/>
      <c r="G78" s="41" t="s">
        <v>324</v>
      </c>
      <c r="H78" s="46"/>
      <c r="I78" s="43" t="s">
        <v>13</v>
      </c>
      <c r="J78" s="44"/>
      <c r="K78" s="44"/>
      <c r="L78" s="44"/>
      <c r="M78" s="44">
        <f t="shared" si="4"/>
        <v>0</v>
      </c>
      <c r="N78" s="45" t="e">
        <f t="shared" si="5"/>
        <v>#VALUE!</v>
      </c>
    </row>
    <row r="79" spans="3:14" s="36" customFormat="1" ht="13.2">
      <c r="C79" s="37" t="s">
        <v>77</v>
      </c>
      <c r="D79" s="38"/>
      <c r="E79" s="39" t="s">
        <v>325</v>
      </c>
      <c r="F79" s="40"/>
      <c r="G79" s="41" t="s">
        <v>295</v>
      </c>
      <c r="H79" s="46"/>
      <c r="I79" s="43" t="s">
        <v>13</v>
      </c>
      <c r="J79" s="44"/>
      <c r="K79" s="44"/>
      <c r="L79" s="44"/>
      <c r="M79" s="44">
        <f t="shared" si="4"/>
        <v>0</v>
      </c>
      <c r="N79" s="45" t="e">
        <f t="shared" si="5"/>
        <v>#VALUE!</v>
      </c>
    </row>
    <row r="80" spans="3:14" s="36" customFormat="1" ht="13.2">
      <c r="C80" s="37" t="s">
        <v>78</v>
      </c>
      <c r="D80" s="38"/>
      <c r="E80" s="39" t="s">
        <v>325</v>
      </c>
      <c r="F80" s="40"/>
      <c r="G80" s="41" t="s">
        <v>295</v>
      </c>
      <c r="H80" s="46"/>
      <c r="I80" s="43" t="s">
        <v>13</v>
      </c>
      <c r="J80" s="44"/>
      <c r="K80" s="44"/>
      <c r="L80" s="44"/>
      <c r="M80" s="44">
        <f t="shared" si="4"/>
        <v>0</v>
      </c>
      <c r="N80" s="45" t="e">
        <f t="shared" si="5"/>
        <v>#VALUE!</v>
      </c>
    </row>
    <row r="81" spans="3:14" s="36" customFormat="1" ht="13.2">
      <c r="C81" s="47"/>
      <c r="D81" s="38"/>
      <c r="E81" s="39"/>
      <c r="F81" s="40"/>
      <c r="G81" s="41"/>
      <c r="H81" s="46"/>
      <c r="I81" s="43" t="s">
        <v>13</v>
      </c>
      <c r="J81" s="44"/>
      <c r="K81" s="44"/>
      <c r="L81" s="44"/>
      <c r="M81" s="44">
        <f t="shared" si="4"/>
        <v>0</v>
      </c>
      <c r="N81" s="45" t="e">
        <f t="shared" si="5"/>
        <v>#DIV/0!</v>
      </c>
    </row>
    <row r="82" spans="3:14" s="36" customFormat="1" ht="13.2">
      <c r="C82" s="48" t="s">
        <v>79</v>
      </c>
      <c r="D82" s="38"/>
      <c r="E82" s="39" t="s">
        <v>287</v>
      </c>
      <c r="F82" s="40"/>
      <c r="G82" s="41" t="s">
        <v>295</v>
      </c>
      <c r="H82" s="46"/>
      <c r="I82" s="43" t="s">
        <v>13</v>
      </c>
      <c r="J82" s="44"/>
      <c r="K82" s="44"/>
      <c r="L82" s="44"/>
      <c r="M82" s="44">
        <f t="shared" si="4"/>
        <v>0</v>
      </c>
      <c r="N82" s="45" t="e">
        <f t="shared" si="5"/>
        <v>#VALUE!</v>
      </c>
    </row>
    <row r="83" spans="3:14" s="36" customFormat="1" ht="13.2">
      <c r="C83" s="48" t="s">
        <v>80</v>
      </c>
      <c r="D83" s="38"/>
      <c r="E83" s="39" t="s">
        <v>288</v>
      </c>
      <c r="F83" s="40"/>
      <c r="G83" s="41" t="s">
        <v>295</v>
      </c>
      <c r="H83" s="46"/>
      <c r="I83" s="43" t="s">
        <v>13</v>
      </c>
      <c r="J83" s="44"/>
      <c r="K83" s="44"/>
      <c r="L83" s="44"/>
      <c r="M83" s="44"/>
      <c r="N83" s="45"/>
    </row>
    <row r="84" spans="3:14" s="36" customFormat="1" ht="13.2">
      <c r="C84" s="48" t="s">
        <v>81</v>
      </c>
      <c r="D84" s="38"/>
      <c r="E84" s="39" t="s">
        <v>314</v>
      </c>
      <c r="F84" s="40"/>
      <c r="G84" s="41" t="s">
        <v>314</v>
      </c>
      <c r="H84" s="46"/>
      <c r="I84" s="43" t="s">
        <v>13</v>
      </c>
      <c r="J84" s="44"/>
      <c r="K84" s="44"/>
      <c r="L84" s="44"/>
      <c r="M84" s="44">
        <f>MIN(J84:L84)</f>
        <v>0</v>
      </c>
      <c r="N84" s="45" t="e">
        <f>SUM(M84/E84)</f>
        <v>#VALUE!</v>
      </c>
    </row>
    <row r="85" spans="3:14" s="36" customFormat="1" ht="13.2">
      <c r="C85" s="48"/>
      <c r="D85" s="38"/>
      <c r="E85" s="39"/>
      <c r="F85" s="40"/>
      <c r="G85" s="41"/>
      <c r="H85" s="46"/>
      <c r="I85" s="43" t="s">
        <v>13</v>
      </c>
      <c r="J85" s="44"/>
      <c r="K85" s="44"/>
      <c r="L85" s="44"/>
      <c r="M85" s="44"/>
      <c r="N85" s="45"/>
    </row>
    <row r="86" spans="3:14" s="36" customFormat="1" ht="13.2">
      <c r="C86" s="48" t="s">
        <v>82</v>
      </c>
      <c r="D86" s="38"/>
      <c r="E86" s="39" t="s">
        <v>321</v>
      </c>
      <c r="F86" s="40"/>
      <c r="G86" s="41" t="s">
        <v>322</v>
      </c>
      <c r="H86" s="46"/>
      <c r="I86" s="43" t="s">
        <v>323</v>
      </c>
      <c r="J86" s="44"/>
      <c r="K86" s="44"/>
      <c r="L86" s="44"/>
      <c r="M86" s="44"/>
      <c r="N86" s="45"/>
    </row>
    <row r="87" spans="3:14" s="36" customFormat="1" ht="13.2">
      <c r="C87" s="48" t="s">
        <v>83</v>
      </c>
      <c r="D87" s="38"/>
      <c r="E87" s="39" t="s">
        <v>288</v>
      </c>
      <c r="F87" s="40"/>
      <c r="G87" s="41" t="s">
        <v>295</v>
      </c>
      <c r="H87" s="46"/>
      <c r="I87" s="43" t="s">
        <v>13</v>
      </c>
      <c r="J87" s="44"/>
      <c r="K87" s="44"/>
      <c r="L87" s="44"/>
      <c r="M87" s="44"/>
      <c r="N87" s="45"/>
    </row>
    <row r="88" spans="3:14" s="36" customFormat="1" ht="13.2">
      <c r="C88" s="48" t="s">
        <v>84</v>
      </c>
      <c r="D88" s="38"/>
      <c r="E88" s="39" t="s">
        <v>288</v>
      </c>
      <c r="F88" s="40"/>
      <c r="G88" s="41" t="s">
        <v>295</v>
      </c>
      <c r="H88" s="46"/>
      <c r="I88" s="43" t="s">
        <v>13</v>
      </c>
      <c r="J88" s="44"/>
      <c r="K88" s="44"/>
      <c r="L88" s="44"/>
      <c r="M88" s="44"/>
      <c r="N88" s="45"/>
    </row>
    <row r="89" spans="3:14" s="36" customFormat="1" ht="13.2">
      <c r="C89" s="48" t="s">
        <v>85</v>
      </c>
      <c r="D89" s="38"/>
      <c r="E89" s="39" t="s">
        <v>288</v>
      </c>
      <c r="F89" s="40"/>
      <c r="G89" s="41" t="s">
        <v>295</v>
      </c>
      <c r="H89" s="46"/>
      <c r="I89" s="43" t="s">
        <v>13</v>
      </c>
      <c r="J89" s="44"/>
      <c r="K89" s="44"/>
      <c r="L89" s="44"/>
      <c r="M89" s="44"/>
      <c r="N89" s="45"/>
    </row>
    <row r="90" spans="3:14" s="36" customFormat="1" ht="13.2">
      <c r="C90" s="48" t="s">
        <v>86</v>
      </c>
      <c r="D90" s="38"/>
      <c r="E90" s="39" t="s">
        <v>288</v>
      </c>
      <c r="F90" s="40"/>
      <c r="G90" s="41" t="s">
        <v>295</v>
      </c>
      <c r="H90" s="46"/>
      <c r="I90" s="43" t="s">
        <v>13</v>
      </c>
      <c r="J90" s="44"/>
      <c r="K90" s="44"/>
      <c r="L90" s="44"/>
      <c r="M90" s="44"/>
      <c r="N90" s="45"/>
    </row>
    <row r="91" spans="3:14" s="36" customFormat="1" ht="13.2">
      <c r="C91" s="48" t="s">
        <v>87</v>
      </c>
      <c r="D91" s="38"/>
      <c r="E91" s="39" t="s">
        <v>328</v>
      </c>
      <c r="F91" s="40"/>
      <c r="G91" s="41" t="s">
        <v>295</v>
      </c>
      <c r="H91" s="46"/>
      <c r="I91" s="43" t="s">
        <v>13</v>
      </c>
      <c r="J91" s="44"/>
      <c r="K91" s="44"/>
      <c r="L91" s="44"/>
      <c r="M91" s="44"/>
      <c r="N91" s="45"/>
    </row>
    <row r="92" spans="3:14" s="36" customFormat="1" ht="13.2">
      <c r="C92" s="48" t="s">
        <v>88</v>
      </c>
      <c r="D92" s="38"/>
      <c r="E92" s="39" t="s">
        <v>329</v>
      </c>
      <c r="F92" s="40"/>
      <c r="G92" s="41" t="s">
        <v>295</v>
      </c>
      <c r="H92" s="46"/>
      <c r="I92" s="43" t="s">
        <v>13</v>
      </c>
      <c r="J92" s="44"/>
      <c r="K92" s="44"/>
      <c r="L92" s="44"/>
      <c r="M92" s="44"/>
      <c r="N92" s="45"/>
    </row>
    <row r="93" spans="3:14" s="36" customFormat="1" ht="13.2">
      <c r="C93" s="48" t="s">
        <v>89</v>
      </c>
      <c r="D93" s="38"/>
      <c r="E93" s="39" t="s">
        <v>327</v>
      </c>
      <c r="F93" s="40"/>
      <c r="G93" s="41" t="s">
        <v>326</v>
      </c>
      <c r="H93" s="46"/>
      <c r="I93" s="43" t="s">
        <v>13</v>
      </c>
      <c r="J93" s="44"/>
      <c r="K93" s="44"/>
      <c r="L93" s="44"/>
      <c r="M93" s="44"/>
      <c r="N93" s="45"/>
    </row>
    <row r="94" spans="3:14" s="36" customFormat="1" ht="13.2">
      <c r="C94" s="48" t="s">
        <v>90</v>
      </c>
      <c r="D94" s="38"/>
      <c r="E94" s="39" t="s">
        <v>330</v>
      </c>
      <c r="F94" s="40"/>
      <c r="G94" s="41" t="s">
        <v>295</v>
      </c>
      <c r="H94" s="46"/>
      <c r="I94" s="43" t="s">
        <v>13</v>
      </c>
      <c r="J94" s="44"/>
      <c r="K94" s="44"/>
      <c r="L94" s="44"/>
      <c r="M94" s="44"/>
      <c r="N94" s="45"/>
    </row>
    <row r="95" spans="3:14" s="36" customFormat="1" ht="13.2">
      <c r="C95" s="48"/>
      <c r="D95" s="38"/>
      <c r="E95" s="39"/>
      <c r="F95" s="40"/>
      <c r="G95" s="41"/>
      <c r="H95" s="46"/>
      <c r="I95" s="43" t="s">
        <v>13</v>
      </c>
      <c r="J95" s="44"/>
      <c r="K95" s="44"/>
      <c r="L95" s="44"/>
      <c r="M95" s="44"/>
      <c r="N95" s="45"/>
    </row>
    <row r="96" spans="3:14" s="36" customFormat="1" ht="13.2">
      <c r="C96" s="48"/>
      <c r="D96" s="38"/>
      <c r="E96" s="39"/>
      <c r="F96" s="40"/>
      <c r="G96" s="41"/>
      <c r="H96" s="46"/>
      <c r="I96" s="43" t="s">
        <v>13</v>
      </c>
      <c r="J96" s="44"/>
      <c r="K96" s="44"/>
      <c r="L96" s="44"/>
      <c r="M96" s="44"/>
      <c r="N96" s="45"/>
    </row>
    <row r="97" spans="3:14" s="36" customFormat="1" ht="13.2">
      <c r="C97" s="48"/>
      <c r="D97" s="38"/>
      <c r="E97" s="39"/>
      <c r="F97" s="40"/>
      <c r="G97" s="41"/>
      <c r="H97" s="46"/>
      <c r="I97" s="43" t="s">
        <v>91</v>
      </c>
      <c r="J97" s="44"/>
      <c r="K97" s="44"/>
      <c r="L97" s="44"/>
      <c r="M97" s="44"/>
      <c r="N97" s="45"/>
    </row>
    <row r="98" spans="3:14" s="16" customFormat="1" ht="12.75" customHeight="1">
      <c r="C98" s="8" t="s">
        <v>92</v>
      </c>
      <c r="D98" s="8"/>
      <c r="E98" s="10"/>
      <c r="F98" s="10"/>
      <c r="G98" s="10"/>
      <c r="H98" s="52"/>
      <c r="I98" s="9" t="s">
        <v>4</v>
      </c>
      <c r="J98" s="53"/>
      <c r="K98" s="53"/>
      <c r="L98" s="53"/>
      <c r="M98" s="44">
        <f t="shared" ref="M98:M108" si="6">MIN(J98:L98)</f>
        <v>0</v>
      </c>
      <c r="N98" s="45" t="e">
        <f t="shared" ref="N98:N108" si="7">SUM(M98/E98)</f>
        <v>#DIV/0!</v>
      </c>
    </row>
    <row r="99" spans="3:14" s="16" customFormat="1" ht="15" customHeight="1">
      <c r="C99" s="8"/>
      <c r="D99" s="8"/>
      <c r="E99" s="54" t="s">
        <v>6</v>
      </c>
      <c r="F99" s="55"/>
      <c r="G99" s="56" t="s">
        <v>7</v>
      </c>
      <c r="H99" s="57" t="s">
        <v>8</v>
      </c>
      <c r="I99" s="9"/>
      <c r="J99" s="53"/>
      <c r="K99" s="53"/>
      <c r="L99" s="53"/>
      <c r="M99" s="44">
        <f t="shared" si="6"/>
        <v>0</v>
      </c>
      <c r="N99" s="45" t="e">
        <f t="shared" si="7"/>
        <v>#VALUE!</v>
      </c>
    </row>
    <row r="100" spans="3:14" s="36" customFormat="1" ht="13.2">
      <c r="C100" s="37" t="s">
        <v>93</v>
      </c>
      <c r="D100" s="38"/>
      <c r="E100" s="39" t="s">
        <v>295</v>
      </c>
      <c r="F100" s="40"/>
      <c r="G100" s="41" t="s">
        <v>295</v>
      </c>
      <c r="H100" s="46"/>
      <c r="I100" s="58" t="s">
        <v>13</v>
      </c>
      <c r="J100" s="44"/>
      <c r="K100" s="44"/>
      <c r="L100" s="44"/>
      <c r="M100" s="44">
        <f t="shared" si="6"/>
        <v>0</v>
      </c>
      <c r="N100" s="45" t="e">
        <f t="shared" si="7"/>
        <v>#VALUE!</v>
      </c>
    </row>
    <row r="101" spans="3:14" s="36" customFormat="1" ht="13.2">
      <c r="C101" s="47" t="s">
        <v>94</v>
      </c>
      <c r="D101" s="38"/>
      <c r="E101" s="39" t="s">
        <v>295</v>
      </c>
      <c r="F101" s="40"/>
      <c r="G101" s="41" t="s">
        <v>305</v>
      </c>
      <c r="H101" s="46"/>
      <c r="I101" s="58" t="s">
        <v>13</v>
      </c>
      <c r="J101" s="44"/>
      <c r="K101" s="44"/>
      <c r="L101" s="44"/>
      <c r="M101" s="44">
        <f t="shared" si="6"/>
        <v>0</v>
      </c>
      <c r="N101" s="45" t="e">
        <f t="shared" si="7"/>
        <v>#VALUE!</v>
      </c>
    </row>
    <row r="102" spans="3:14" s="36" customFormat="1" ht="13.2">
      <c r="C102" s="37"/>
      <c r="D102" s="38"/>
      <c r="E102" s="39"/>
      <c r="F102" s="40"/>
      <c r="G102" s="41"/>
      <c r="H102" s="46"/>
      <c r="I102" s="51" t="s">
        <v>95</v>
      </c>
      <c r="J102" s="44"/>
      <c r="K102" s="44"/>
      <c r="L102" s="44"/>
      <c r="M102" s="44">
        <f t="shared" si="6"/>
        <v>0</v>
      </c>
      <c r="N102" s="45" t="e">
        <f t="shared" si="7"/>
        <v>#DIV/0!</v>
      </c>
    </row>
    <row r="103" spans="3:14" s="36" customFormat="1" ht="13.2">
      <c r="C103" s="37" t="s">
        <v>96</v>
      </c>
      <c r="D103" s="38"/>
      <c r="E103" s="39" t="s">
        <v>295</v>
      </c>
      <c r="F103" s="40"/>
      <c r="G103" s="41" t="s">
        <v>295</v>
      </c>
      <c r="H103" s="46"/>
      <c r="I103" s="58" t="s">
        <v>13</v>
      </c>
      <c r="J103" s="44"/>
      <c r="K103" s="44"/>
      <c r="L103" s="44"/>
      <c r="M103" s="44">
        <f t="shared" si="6"/>
        <v>0</v>
      </c>
      <c r="N103" s="45" t="e">
        <f t="shared" si="7"/>
        <v>#VALUE!</v>
      </c>
    </row>
    <row r="104" spans="3:14" s="36" customFormat="1" ht="13.2">
      <c r="C104" s="37" t="s">
        <v>97</v>
      </c>
      <c r="D104" s="38"/>
      <c r="E104" s="39" t="s">
        <v>295</v>
      </c>
      <c r="F104" s="40"/>
      <c r="G104" s="41" t="s">
        <v>295</v>
      </c>
      <c r="H104" s="46"/>
      <c r="I104" s="58" t="s">
        <v>13</v>
      </c>
      <c r="J104" s="44"/>
      <c r="K104" s="44"/>
      <c r="L104" s="44"/>
      <c r="M104" s="44">
        <f t="shared" si="6"/>
        <v>0</v>
      </c>
      <c r="N104" s="45" t="e">
        <f t="shared" si="7"/>
        <v>#VALUE!</v>
      </c>
    </row>
    <row r="105" spans="3:14" s="36" customFormat="1" ht="13.2">
      <c r="C105" s="37" t="s">
        <v>98</v>
      </c>
      <c r="D105" s="38"/>
      <c r="E105" s="39" t="s">
        <v>295</v>
      </c>
      <c r="F105" s="40"/>
      <c r="G105" s="41" t="s">
        <v>295</v>
      </c>
      <c r="H105" s="46"/>
      <c r="I105" s="58" t="s">
        <v>13</v>
      </c>
      <c r="J105" s="44"/>
      <c r="K105" s="44"/>
      <c r="L105" s="44"/>
      <c r="M105" s="44">
        <f t="shared" si="6"/>
        <v>0</v>
      </c>
      <c r="N105" s="45" t="e">
        <f t="shared" si="7"/>
        <v>#VALUE!</v>
      </c>
    </row>
    <row r="106" spans="3:14" s="36" customFormat="1" ht="13.2">
      <c r="C106" s="47" t="s">
        <v>99</v>
      </c>
      <c r="D106" s="38"/>
      <c r="E106" s="39" t="s">
        <v>295</v>
      </c>
      <c r="F106" s="40"/>
      <c r="G106" s="41" t="s">
        <v>295</v>
      </c>
      <c r="H106" s="46"/>
      <c r="I106" s="58" t="s">
        <v>13</v>
      </c>
      <c r="J106" s="44"/>
      <c r="K106" s="44"/>
      <c r="L106" s="44"/>
      <c r="M106" s="44">
        <f t="shared" si="6"/>
        <v>0</v>
      </c>
      <c r="N106" s="45" t="e">
        <f t="shared" si="7"/>
        <v>#VALUE!</v>
      </c>
    </row>
    <row r="107" spans="3:14" s="36" customFormat="1" ht="13.2">
      <c r="C107" s="48" t="s">
        <v>100</v>
      </c>
      <c r="D107" s="38"/>
      <c r="E107" s="39" t="s">
        <v>295</v>
      </c>
      <c r="F107" s="40"/>
      <c r="G107" s="41" t="s">
        <v>305</v>
      </c>
      <c r="H107" s="46"/>
      <c r="I107" s="58" t="s">
        <v>13</v>
      </c>
      <c r="J107" s="44"/>
      <c r="K107" s="44"/>
      <c r="L107" s="44"/>
      <c r="M107" s="44">
        <f t="shared" si="6"/>
        <v>0</v>
      </c>
      <c r="N107" s="45" t="e">
        <f t="shared" si="7"/>
        <v>#VALUE!</v>
      </c>
    </row>
    <row r="108" spans="3:14" s="36" customFormat="1" ht="13.2">
      <c r="C108" s="48"/>
      <c r="D108" s="38"/>
      <c r="E108" s="39"/>
      <c r="F108" s="40"/>
      <c r="G108" s="41"/>
      <c r="H108" s="46"/>
      <c r="I108" s="51" t="s">
        <v>31</v>
      </c>
      <c r="J108" s="44"/>
      <c r="K108" s="44"/>
      <c r="L108" s="44"/>
      <c r="M108" s="44">
        <f t="shared" si="6"/>
        <v>0</v>
      </c>
      <c r="N108" s="45" t="e">
        <f t="shared" si="7"/>
        <v>#DIV/0!</v>
      </c>
    </row>
    <row r="109" spans="3:14" s="36" customFormat="1" ht="13.2">
      <c r="C109" s="48"/>
      <c r="D109" s="38"/>
      <c r="E109" s="39"/>
      <c r="F109" s="40"/>
      <c r="G109" s="41"/>
      <c r="H109" s="46"/>
      <c r="I109" s="58" t="s">
        <v>13</v>
      </c>
      <c r="J109" s="44"/>
      <c r="K109" s="44"/>
      <c r="L109" s="44"/>
      <c r="M109" s="44"/>
      <c r="N109" s="45"/>
    </row>
    <row r="110" spans="3:14" s="36" customFormat="1" ht="13.2">
      <c r="C110" s="48" t="s">
        <v>101</v>
      </c>
      <c r="D110" s="38"/>
      <c r="E110" s="39" t="s">
        <v>295</v>
      </c>
      <c r="F110" s="40"/>
      <c r="G110" s="41" t="s">
        <v>295</v>
      </c>
      <c r="H110" s="46"/>
      <c r="I110" s="58"/>
      <c r="J110" s="44"/>
      <c r="K110" s="44"/>
      <c r="L110" s="44"/>
      <c r="M110" s="44"/>
      <c r="N110" s="45"/>
    </row>
    <row r="111" spans="3:14" s="36" customFormat="1" ht="13.2">
      <c r="C111" s="48" t="s">
        <v>102</v>
      </c>
      <c r="D111" s="38"/>
      <c r="E111" s="39" t="s">
        <v>295</v>
      </c>
      <c r="F111" s="40"/>
      <c r="G111" s="41" t="s">
        <v>295</v>
      </c>
      <c r="H111" s="46"/>
      <c r="I111" s="43" t="s">
        <v>13</v>
      </c>
      <c r="J111" s="44"/>
      <c r="K111" s="44"/>
      <c r="L111" s="44"/>
      <c r="M111" s="44"/>
      <c r="N111" s="45"/>
    </row>
    <row r="112" spans="3:14" s="36" customFormat="1" ht="13.2">
      <c r="C112" s="48" t="s">
        <v>103</v>
      </c>
      <c r="D112" s="38"/>
      <c r="E112" s="39" t="s">
        <v>295</v>
      </c>
      <c r="F112" s="40"/>
      <c r="G112" s="41" t="s">
        <v>295</v>
      </c>
      <c r="H112" s="46"/>
      <c r="I112" s="43"/>
      <c r="J112" s="44"/>
      <c r="K112" s="44"/>
      <c r="L112" s="44"/>
      <c r="M112" s="44"/>
      <c r="N112" s="45"/>
    </row>
    <row r="113" spans="3:14" s="36" customFormat="1" ht="13.2">
      <c r="C113" s="48" t="s">
        <v>104</v>
      </c>
      <c r="D113" s="38"/>
      <c r="E113" s="39" t="s">
        <v>295</v>
      </c>
      <c r="F113" s="40"/>
      <c r="G113" s="41" t="s">
        <v>295</v>
      </c>
      <c r="H113" s="46"/>
      <c r="I113" s="43" t="s">
        <v>105</v>
      </c>
      <c r="J113" s="44"/>
      <c r="K113" s="44"/>
      <c r="L113" s="44"/>
      <c r="M113" s="44"/>
      <c r="N113" s="45"/>
    </row>
    <row r="114" spans="3:14" s="36" customFormat="1" ht="13.2">
      <c r="C114" s="48" t="s">
        <v>106</v>
      </c>
      <c r="D114" s="38"/>
      <c r="E114" s="39" t="s">
        <v>295</v>
      </c>
      <c r="F114" s="40"/>
      <c r="G114" s="41" t="s">
        <v>295</v>
      </c>
      <c r="H114" s="46"/>
      <c r="I114" s="43"/>
      <c r="J114" s="44"/>
      <c r="K114" s="44"/>
      <c r="L114" s="44"/>
      <c r="M114" s="44"/>
      <c r="N114" s="45"/>
    </row>
    <row r="115" spans="3:14" s="36" customFormat="1" ht="13.2">
      <c r="C115" s="48" t="s">
        <v>107</v>
      </c>
      <c r="D115" s="38"/>
      <c r="E115" s="39" t="s">
        <v>295</v>
      </c>
      <c r="F115" s="40"/>
      <c r="G115" s="41" t="s">
        <v>295</v>
      </c>
      <c r="H115" s="46"/>
      <c r="I115" s="43" t="s">
        <v>13</v>
      </c>
      <c r="J115" s="44"/>
      <c r="K115" s="44"/>
      <c r="L115" s="44"/>
      <c r="M115" s="44"/>
      <c r="N115" s="45"/>
    </row>
    <row r="116" spans="3:14" s="16" customFormat="1" ht="12.75" customHeight="1">
      <c r="C116" s="8" t="s">
        <v>108</v>
      </c>
      <c r="D116" s="8"/>
      <c r="E116" s="10"/>
      <c r="F116" s="10"/>
      <c r="G116" s="10"/>
      <c r="H116" s="52"/>
      <c r="I116" s="9" t="s">
        <v>4</v>
      </c>
      <c r="J116" s="53"/>
      <c r="K116" s="53"/>
      <c r="L116" s="53"/>
      <c r="M116" s="44">
        <f t="shared" ref="M116:M125" si="8">MIN(J116:L116)</f>
        <v>0</v>
      </c>
      <c r="N116" s="45" t="e">
        <f t="shared" ref="N116:N125" si="9">SUM(M116/E116)</f>
        <v>#DIV/0!</v>
      </c>
    </row>
    <row r="117" spans="3:14" s="16" customFormat="1" ht="15" customHeight="1">
      <c r="C117" s="8"/>
      <c r="D117" s="8"/>
      <c r="E117" s="54" t="s">
        <v>6</v>
      </c>
      <c r="F117" s="55"/>
      <c r="G117" s="56" t="s">
        <v>7</v>
      </c>
      <c r="H117" s="57" t="s">
        <v>8</v>
      </c>
      <c r="I117" s="9"/>
      <c r="J117" s="53"/>
      <c r="K117" s="53"/>
      <c r="L117" s="53"/>
      <c r="M117" s="44">
        <f t="shared" si="8"/>
        <v>0</v>
      </c>
      <c r="N117" s="45" t="e">
        <f t="shared" si="9"/>
        <v>#VALUE!</v>
      </c>
    </row>
    <row r="118" spans="3:14" s="36" customFormat="1" ht="13.2">
      <c r="C118" s="47" t="s">
        <v>109</v>
      </c>
      <c r="D118" s="38"/>
      <c r="E118" s="39" t="s">
        <v>295</v>
      </c>
      <c r="F118" s="40"/>
      <c r="G118" s="41" t="s">
        <v>295</v>
      </c>
      <c r="H118" s="46"/>
      <c r="I118" s="58" t="s">
        <v>13</v>
      </c>
      <c r="J118" s="44"/>
      <c r="K118" s="44"/>
      <c r="L118" s="44"/>
      <c r="M118" s="44">
        <f t="shared" si="8"/>
        <v>0</v>
      </c>
      <c r="N118" s="45" t="e">
        <f t="shared" si="9"/>
        <v>#VALUE!</v>
      </c>
    </row>
    <row r="119" spans="3:14" s="36" customFormat="1" ht="13.2">
      <c r="C119" s="47" t="s">
        <v>110</v>
      </c>
      <c r="D119" s="38"/>
      <c r="E119" s="39" t="s">
        <v>331</v>
      </c>
      <c r="F119" s="40"/>
      <c r="G119" s="41" t="s">
        <v>331</v>
      </c>
      <c r="H119" s="46"/>
      <c r="I119" s="58" t="s">
        <v>13</v>
      </c>
      <c r="J119" s="44"/>
      <c r="K119" s="44"/>
      <c r="L119" s="44"/>
      <c r="M119" s="44">
        <f t="shared" si="8"/>
        <v>0</v>
      </c>
      <c r="N119" s="45" t="e">
        <f t="shared" si="9"/>
        <v>#VALUE!</v>
      </c>
    </row>
    <row r="120" spans="3:14" s="36" customFormat="1" ht="13.2">
      <c r="C120" s="47" t="s">
        <v>111</v>
      </c>
      <c r="D120" s="38"/>
      <c r="E120" s="39" t="s">
        <v>332</v>
      </c>
      <c r="F120" s="40"/>
      <c r="G120" s="41" t="s">
        <v>332</v>
      </c>
      <c r="H120" s="46"/>
      <c r="I120" s="58" t="s">
        <v>13</v>
      </c>
      <c r="J120" s="44"/>
      <c r="K120" s="44"/>
      <c r="L120" s="44"/>
      <c r="M120" s="44">
        <f t="shared" si="8"/>
        <v>0</v>
      </c>
      <c r="N120" s="45" t="e">
        <f t="shared" si="9"/>
        <v>#VALUE!</v>
      </c>
    </row>
    <row r="121" spans="3:14" s="36" customFormat="1" ht="13.2">
      <c r="C121" s="47" t="s">
        <v>112</v>
      </c>
      <c r="D121" s="38"/>
      <c r="E121" s="39" t="s">
        <v>295</v>
      </c>
      <c r="F121" s="40"/>
      <c r="G121" s="41" t="s">
        <v>295</v>
      </c>
      <c r="H121" s="46"/>
      <c r="I121" s="58" t="s">
        <v>13</v>
      </c>
      <c r="J121" s="44"/>
      <c r="K121" s="44"/>
      <c r="L121" s="44"/>
      <c r="M121" s="44">
        <f t="shared" si="8"/>
        <v>0</v>
      </c>
      <c r="N121" s="45" t="e">
        <f t="shared" si="9"/>
        <v>#VALUE!</v>
      </c>
    </row>
    <row r="122" spans="3:14" s="36" customFormat="1" ht="13.2">
      <c r="C122" s="47" t="s">
        <v>113</v>
      </c>
      <c r="D122" s="38"/>
      <c r="E122" s="39" t="s">
        <v>295</v>
      </c>
      <c r="F122" s="40"/>
      <c r="G122" s="41" t="s">
        <v>295</v>
      </c>
      <c r="H122" s="46"/>
      <c r="I122" s="58" t="s">
        <v>13</v>
      </c>
      <c r="J122" s="44"/>
      <c r="K122" s="44"/>
      <c r="L122" s="44"/>
      <c r="M122" s="44">
        <f t="shared" si="8"/>
        <v>0</v>
      </c>
      <c r="N122" s="45" t="e">
        <f t="shared" si="9"/>
        <v>#VALUE!</v>
      </c>
    </row>
    <row r="123" spans="3:14" s="36" customFormat="1" ht="13.2">
      <c r="C123" s="47" t="s">
        <v>114</v>
      </c>
      <c r="D123" s="38"/>
      <c r="E123" s="39" t="s">
        <v>326</v>
      </c>
      <c r="F123" s="40"/>
      <c r="G123" s="41" t="s">
        <v>326</v>
      </c>
      <c r="H123" s="46"/>
      <c r="I123" s="59" t="s">
        <v>115</v>
      </c>
      <c r="J123" s="44"/>
      <c r="K123" s="44"/>
      <c r="L123" s="44"/>
      <c r="M123" s="44">
        <f t="shared" si="8"/>
        <v>0</v>
      </c>
      <c r="N123" s="45" t="e">
        <f t="shared" si="9"/>
        <v>#VALUE!</v>
      </c>
    </row>
    <row r="124" spans="3:14" s="36" customFormat="1" ht="13.2">
      <c r="C124" s="47" t="s">
        <v>116</v>
      </c>
      <c r="D124" s="38"/>
      <c r="E124" s="39" t="s">
        <v>308</v>
      </c>
      <c r="F124" s="40"/>
      <c r="G124" s="41" t="s">
        <v>333</v>
      </c>
      <c r="H124" s="46"/>
      <c r="I124" s="58" t="s">
        <v>13</v>
      </c>
      <c r="J124" s="44"/>
      <c r="K124" s="44"/>
      <c r="L124" s="44"/>
      <c r="M124" s="44">
        <f t="shared" si="8"/>
        <v>0</v>
      </c>
      <c r="N124" s="45" t="e">
        <f t="shared" si="9"/>
        <v>#VALUE!</v>
      </c>
    </row>
    <row r="125" spans="3:14" s="36" customFormat="1" ht="13.2">
      <c r="C125" s="47" t="s">
        <v>117</v>
      </c>
      <c r="D125" s="38"/>
      <c r="E125" s="39" t="s">
        <v>295</v>
      </c>
      <c r="F125" s="40"/>
      <c r="G125" s="41" t="s">
        <v>295</v>
      </c>
      <c r="H125" s="46"/>
      <c r="I125" s="58" t="s">
        <v>13</v>
      </c>
      <c r="J125" s="44"/>
      <c r="K125" s="44"/>
      <c r="L125" s="44"/>
      <c r="M125" s="44">
        <f t="shared" si="8"/>
        <v>0</v>
      </c>
      <c r="N125" s="45" t="e">
        <f t="shared" si="9"/>
        <v>#VALUE!</v>
      </c>
    </row>
    <row r="126" spans="3:14" s="36" customFormat="1" ht="13.2">
      <c r="C126" s="47" t="s">
        <v>118</v>
      </c>
      <c r="D126" s="38"/>
      <c r="E126" s="39" t="s">
        <v>295</v>
      </c>
      <c r="F126" s="40"/>
      <c r="G126" s="41" t="s">
        <v>295</v>
      </c>
      <c r="H126" s="46"/>
      <c r="I126" s="58" t="s">
        <v>13</v>
      </c>
      <c r="J126" s="44"/>
      <c r="K126" s="44"/>
      <c r="L126" s="44"/>
      <c r="M126" s="44"/>
      <c r="N126" s="45"/>
    </row>
    <row r="127" spans="3:14" s="36" customFormat="1" ht="13.2">
      <c r="C127" s="47" t="s">
        <v>119</v>
      </c>
      <c r="D127" s="38"/>
      <c r="E127" s="39" t="s">
        <v>334</v>
      </c>
      <c r="F127" s="40"/>
      <c r="G127" s="41" t="s">
        <v>334</v>
      </c>
      <c r="H127" s="46"/>
      <c r="I127" s="58" t="s">
        <v>13</v>
      </c>
      <c r="J127" s="44"/>
      <c r="K127" s="44"/>
      <c r="L127" s="44"/>
      <c r="M127" s="44"/>
      <c r="N127" s="45"/>
    </row>
    <row r="128" spans="3:14" s="36" customFormat="1" ht="13.2">
      <c r="C128" s="47" t="s">
        <v>120</v>
      </c>
      <c r="D128" s="38"/>
      <c r="E128" s="39" t="s">
        <v>295</v>
      </c>
      <c r="F128" s="40"/>
      <c r="G128" s="41" t="s">
        <v>295</v>
      </c>
      <c r="H128" s="46"/>
      <c r="I128" s="58" t="s">
        <v>13</v>
      </c>
      <c r="J128" s="44"/>
      <c r="K128" s="44"/>
      <c r="L128" s="44"/>
      <c r="M128" s="44"/>
      <c r="N128" s="45"/>
    </row>
    <row r="129" spans="3:14" s="36" customFormat="1" ht="13.2">
      <c r="C129" s="47" t="s">
        <v>121</v>
      </c>
      <c r="D129" s="38"/>
      <c r="E129" s="39" t="s">
        <v>295</v>
      </c>
      <c r="F129" s="40"/>
      <c r="G129" s="41" t="s">
        <v>295</v>
      </c>
      <c r="H129" s="46"/>
      <c r="I129" s="59" t="s">
        <v>115</v>
      </c>
      <c r="J129" s="44"/>
      <c r="K129" s="44"/>
      <c r="L129" s="44"/>
      <c r="M129" s="44"/>
      <c r="N129" s="45"/>
    </row>
    <row r="130" spans="3:14" s="36" customFormat="1" ht="13.2">
      <c r="C130" s="47" t="s">
        <v>122</v>
      </c>
      <c r="D130" s="38"/>
      <c r="E130" s="39" t="s">
        <v>332</v>
      </c>
      <c r="F130" s="40"/>
      <c r="G130" s="41" t="s">
        <v>332</v>
      </c>
      <c r="H130" s="46"/>
      <c r="I130" s="58" t="s">
        <v>13</v>
      </c>
      <c r="J130" s="44"/>
      <c r="K130" s="44"/>
      <c r="L130" s="44"/>
      <c r="M130" s="44">
        <f>MIN(J130:L130)</f>
        <v>0</v>
      </c>
      <c r="N130" s="45" t="e">
        <f>SUM(M130/E130)</f>
        <v>#VALUE!</v>
      </c>
    </row>
    <row r="131" spans="3:14" ht="13.2">
      <c r="C131" s="48" t="s">
        <v>123</v>
      </c>
      <c r="D131" s="38"/>
      <c r="E131" s="39" t="s">
        <v>308</v>
      </c>
      <c r="F131" s="40"/>
      <c r="G131" s="41" t="s">
        <v>308</v>
      </c>
      <c r="H131" s="46"/>
      <c r="I131" s="60" t="s">
        <v>13</v>
      </c>
      <c r="J131" s="61"/>
      <c r="K131" s="61"/>
      <c r="L131" s="61"/>
      <c r="M131" s="44">
        <f>MIN(J131:L131)</f>
        <v>0</v>
      </c>
      <c r="N131" s="45" t="e">
        <f>SUM(M131/E131)</f>
        <v>#VALUE!</v>
      </c>
    </row>
    <row r="132" spans="3:14" ht="13.2">
      <c r="C132" s="48" t="s">
        <v>124</v>
      </c>
      <c r="D132" s="38"/>
      <c r="E132" s="39" t="s">
        <v>295</v>
      </c>
      <c r="F132" s="40"/>
      <c r="G132" s="41" t="s">
        <v>295</v>
      </c>
      <c r="H132" s="46"/>
      <c r="I132" s="60" t="s">
        <v>13</v>
      </c>
      <c r="J132" s="61"/>
      <c r="K132" s="61"/>
      <c r="L132" s="61"/>
      <c r="M132" s="44"/>
      <c r="N132" s="45"/>
    </row>
    <row r="133" spans="3:14" ht="13.2">
      <c r="C133" s="48" t="s">
        <v>125</v>
      </c>
      <c r="D133" s="38"/>
      <c r="E133" s="39" t="s">
        <v>295</v>
      </c>
      <c r="F133" s="40"/>
      <c r="G133" s="41" t="s">
        <v>295</v>
      </c>
      <c r="H133" s="46"/>
      <c r="I133" s="60" t="s">
        <v>13</v>
      </c>
      <c r="J133" s="61"/>
      <c r="K133" s="61"/>
      <c r="L133" s="61"/>
      <c r="M133" s="44"/>
      <c r="N133" s="45"/>
    </row>
    <row r="134" spans="3:14" ht="13.2">
      <c r="C134" s="48" t="s">
        <v>126</v>
      </c>
      <c r="D134" s="38"/>
      <c r="E134" s="39" t="s">
        <v>295</v>
      </c>
      <c r="F134" s="40"/>
      <c r="G134" s="41" t="s">
        <v>295</v>
      </c>
      <c r="H134" s="46"/>
      <c r="I134" s="60" t="s">
        <v>13</v>
      </c>
      <c r="J134" s="61"/>
      <c r="K134" s="61"/>
      <c r="L134" s="61"/>
      <c r="M134" s="44"/>
      <c r="N134" s="45"/>
    </row>
    <row r="135" spans="3:14" ht="13.2">
      <c r="C135" s="48" t="s">
        <v>127</v>
      </c>
      <c r="D135" s="38"/>
      <c r="E135" s="39" t="s">
        <v>335</v>
      </c>
      <c r="F135" s="40"/>
      <c r="G135" s="41" t="s">
        <v>335</v>
      </c>
      <c r="H135" s="46"/>
      <c r="I135" s="60" t="s">
        <v>13</v>
      </c>
      <c r="J135" s="61"/>
      <c r="K135" s="61"/>
      <c r="L135" s="61"/>
      <c r="M135" s="44"/>
      <c r="N135" s="45"/>
    </row>
    <row r="136" spans="3:14" ht="13.2">
      <c r="C136" s="48" t="s">
        <v>128</v>
      </c>
      <c r="D136" s="38"/>
      <c r="E136" s="39" t="s">
        <v>326</v>
      </c>
      <c r="F136" s="40"/>
      <c r="G136" s="41" t="s">
        <v>326</v>
      </c>
      <c r="H136" s="46"/>
      <c r="I136" s="60" t="s">
        <v>13</v>
      </c>
      <c r="J136" s="61"/>
      <c r="K136" s="61"/>
      <c r="L136" s="61"/>
      <c r="M136" s="44"/>
      <c r="N136" s="45"/>
    </row>
    <row r="137" spans="3:14" ht="13.2">
      <c r="C137" s="48" t="s">
        <v>129</v>
      </c>
      <c r="D137" s="38"/>
      <c r="E137" s="39" t="s">
        <v>287</v>
      </c>
      <c r="F137" s="40"/>
      <c r="G137" s="41" t="s">
        <v>295</v>
      </c>
      <c r="H137" s="46"/>
      <c r="I137" s="60" t="s">
        <v>13</v>
      </c>
      <c r="J137" s="61"/>
      <c r="K137" s="61"/>
      <c r="L137" s="61"/>
      <c r="M137" s="44"/>
      <c r="N137" s="45"/>
    </row>
    <row r="138" spans="3:14" ht="13.2">
      <c r="C138" s="48" t="s">
        <v>130</v>
      </c>
      <c r="D138" s="38"/>
      <c r="E138" s="39" t="s">
        <v>302</v>
      </c>
      <c r="F138" s="40"/>
      <c r="G138" s="41" t="s">
        <v>314</v>
      </c>
      <c r="H138" s="46"/>
      <c r="I138" s="60" t="s">
        <v>13</v>
      </c>
      <c r="J138" s="61"/>
      <c r="K138" s="61"/>
      <c r="L138" s="61"/>
      <c r="M138" s="44"/>
      <c r="N138" s="45"/>
    </row>
    <row r="139" spans="3:14" ht="13.2">
      <c r="C139" s="48" t="s">
        <v>131</v>
      </c>
      <c r="D139" s="38"/>
      <c r="E139" s="39" t="s">
        <v>304</v>
      </c>
      <c r="F139" s="40"/>
      <c r="G139" s="41" t="s">
        <v>314</v>
      </c>
      <c r="H139" s="46"/>
      <c r="I139" s="60" t="s">
        <v>13</v>
      </c>
      <c r="J139" s="61"/>
      <c r="K139" s="61"/>
      <c r="L139" s="61"/>
      <c r="M139" s="44"/>
      <c r="N139" s="45"/>
    </row>
    <row r="140" spans="3:14" ht="13.2">
      <c r="C140" s="48" t="s">
        <v>336</v>
      </c>
      <c r="D140" s="38"/>
      <c r="E140" s="39" t="s">
        <v>295</v>
      </c>
      <c r="F140" s="40"/>
      <c r="G140" s="41" t="s">
        <v>295</v>
      </c>
      <c r="H140" s="46"/>
      <c r="I140" s="60" t="s">
        <v>13</v>
      </c>
      <c r="J140" s="61"/>
      <c r="K140" s="61"/>
      <c r="L140" s="61"/>
      <c r="M140" s="44"/>
      <c r="N140" s="45"/>
    </row>
    <row r="141" spans="3:14" ht="13.2">
      <c r="C141" s="48" t="s">
        <v>132</v>
      </c>
      <c r="D141" s="38"/>
      <c r="E141" s="39" t="s">
        <v>302</v>
      </c>
      <c r="F141" s="40"/>
      <c r="G141" s="41" t="s">
        <v>314</v>
      </c>
      <c r="H141" s="46"/>
      <c r="I141" s="60" t="s">
        <v>13</v>
      </c>
      <c r="J141" s="61"/>
      <c r="K141" s="61"/>
      <c r="L141" s="61"/>
      <c r="M141" s="44"/>
      <c r="N141" s="45"/>
    </row>
    <row r="142" spans="3:14" ht="13.2">
      <c r="C142" s="48" t="s">
        <v>133</v>
      </c>
      <c r="D142" s="38"/>
      <c r="E142" s="39" t="s">
        <v>335</v>
      </c>
      <c r="F142" s="40"/>
      <c r="G142" s="41" t="s">
        <v>335</v>
      </c>
      <c r="H142" s="46"/>
      <c r="I142" s="60" t="s">
        <v>13</v>
      </c>
      <c r="J142" s="61"/>
      <c r="K142" s="61"/>
      <c r="L142" s="61"/>
      <c r="M142" s="44"/>
      <c r="N142" s="45"/>
    </row>
    <row r="143" spans="3:14" ht="13.2">
      <c r="C143" s="48" t="s">
        <v>134</v>
      </c>
      <c r="D143" s="38"/>
      <c r="E143" s="39" t="s">
        <v>335</v>
      </c>
      <c r="F143" s="40"/>
      <c r="G143" s="41" t="s">
        <v>337</v>
      </c>
      <c r="H143" s="46"/>
      <c r="I143" s="60" t="s">
        <v>13</v>
      </c>
      <c r="J143" s="61"/>
      <c r="K143" s="61"/>
      <c r="L143" s="61"/>
      <c r="M143" s="44"/>
      <c r="N143" s="45"/>
    </row>
    <row r="144" spans="3:14" ht="13.2">
      <c r="C144" s="48" t="s">
        <v>135</v>
      </c>
      <c r="D144" s="38"/>
      <c r="E144" s="39" t="s">
        <v>335</v>
      </c>
      <c r="F144" s="40"/>
      <c r="G144" s="41" t="s">
        <v>335</v>
      </c>
      <c r="H144" s="46"/>
      <c r="I144" s="60" t="s">
        <v>13</v>
      </c>
      <c r="J144" s="61"/>
      <c r="K144" s="61"/>
      <c r="L144" s="61"/>
      <c r="M144" s="44"/>
      <c r="N144" s="45"/>
    </row>
    <row r="145" spans="3:14" ht="13.2">
      <c r="C145" s="48" t="s">
        <v>136</v>
      </c>
      <c r="D145" s="38"/>
      <c r="E145" s="39" t="s">
        <v>335</v>
      </c>
      <c r="F145" s="40"/>
      <c r="G145" s="41" t="s">
        <v>335</v>
      </c>
      <c r="H145" s="46"/>
      <c r="I145" s="60" t="s">
        <v>13</v>
      </c>
      <c r="J145" s="61"/>
      <c r="K145" s="61"/>
      <c r="L145" s="61"/>
      <c r="M145" s="44"/>
      <c r="N145" s="45"/>
    </row>
    <row r="146" spans="3:14" ht="13.2">
      <c r="C146" s="48" t="s">
        <v>137</v>
      </c>
      <c r="D146" s="38"/>
      <c r="E146" s="39" t="s">
        <v>326</v>
      </c>
      <c r="F146" s="40"/>
      <c r="G146" s="41" t="s">
        <v>326</v>
      </c>
      <c r="H146" s="46"/>
      <c r="I146" s="60" t="s">
        <v>13</v>
      </c>
      <c r="J146" s="61"/>
      <c r="K146" s="61"/>
      <c r="L146" s="61"/>
      <c r="M146" s="44"/>
      <c r="N146" s="45"/>
    </row>
    <row r="147" spans="3:14" ht="13.2">
      <c r="C147" s="48" t="s">
        <v>138</v>
      </c>
      <c r="D147" s="38"/>
      <c r="E147" s="39" t="s">
        <v>295</v>
      </c>
      <c r="F147" s="40"/>
      <c r="G147" s="41" t="s">
        <v>295</v>
      </c>
      <c r="H147" s="46"/>
      <c r="I147" s="60" t="s">
        <v>13</v>
      </c>
      <c r="J147" s="61"/>
      <c r="K147" s="61"/>
      <c r="L147" s="61"/>
      <c r="M147" s="44"/>
      <c r="N147" s="45"/>
    </row>
    <row r="148" spans="3:14" ht="13.2">
      <c r="C148" s="48" t="s">
        <v>139</v>
      </c>
      <c r="D148" s="38"/>
      <c r="E148" s="39" t="s">
        <v>308</v>
      </c>
      <c r="F148" s="40"/>
      <c r="G148" s="41" t="s">
        <v>308</v>
      </c>
      <c r="H148" s="46"/>
      <c r="I148" s="60" t="s">
        <v>13</v>
      </c>
      <c r="J148" s="61"/>
      <c r="K148" s="61"/>
      <c r="L148" s="61"/>
      <c r="M148" s="44"/>
      <c r="N148" s="45"/>
    </row>
    <row r="149" spans="3:14" ht="13.2">
      <c r="C149" s="48" t="s">
        <v>140</v>
      </c>
      <c r="D149" s="38"/>
      <c r="E149" s="39" t="s">
        <v>295</v>
      </c>
      <c r="F149" s="40"/>
      <c r="G149" s="41" t="s">
        <v>295</v>
      </c>
      <c r="H149" s="46"/>
      <c r="I149" s="60" t="s">
        <v>13</v>
      </c>
      <c r="J149" s="61"/>
      <c r="K149" s="61"/>
      <c r="L149" s="61"/>
      <c r="M149" s="44"/>
      <c r="N149" s="45"/>
    </row>
    <row r="150" spans="3:14" ht="13.2">
      <c r="C150" s="48" t="s">
        <v>141</v>
      </c>
      <c r="D150" s="38"/>
      <c r="E150" s="39" t="s">
        <v>308</v>
      </c>
      <c r="F150" s="40"/>
      <c r="G150" s="41" t="s">
        <v>308</v>
      </c>
      <c r="H150" s="46"/>
      <c r="I150" s="60" t="s">
        <v>13</v>
      </c>
      <c r="J150" s="61"/>
      <c r="K150" s="61"/>
      <c r="L150" s="61"/>
      <c r="M150" s="44"/>
      <c r="N150" s="45"/>
    </row>
    <row r="151" spans="3:14" ht="13.2">
      <c r="C151" s="48" t="s">
        <v>142</v>
      </c>
      <c r="D151" s="38"/>
      <c r="E151" s="39" t="s">
        <v>295</v>
      </c>
      <c r="F151" s="40"/>
      <c r="G151" s="41" t="s">
        <v>295</v>
      </c>
      <c r="H151" s="46"/>
      <c r="I151" s="60" t="s">
        <v>13</v>
      </c>
      <c r="J151" s="61"/>
      <c r="K151" s="61"/>
      <c r="L151" s="61"/>
      <c r="M151" s="44"/>
      <c r="N151" s="45"/>
    </row>
    <row r="152" spans="3:14" ht="13.2">
      <c r="C152" s="48" t="s">
        <v>143</v>
      </c>
      <c r="D152" s="38"/>
      <c r="E152" s="39" t="s">
        <v>338</v>
      </c>
      <c r="F152" s="40"/>
      <c r="G152" s="41" t="s">
        <v>338</v>
      </c>
      <c r="H152" s="46"/>
      <c r="I152" s="60" t="s">
        <v>11</v>
      </c>
      <c r="J152" s="61"/>
      <c r="K152" s="61"/>
      <c r="L152" s="61"/>
      <c r="M152" s="44"/>
      <c r="N152" s="45"/>
    </row>
    <row r="153" spans="3:14" ht="13.2">
      <c r="C153" s="48" t="s">
        <v>144</v>
      </c>
      <c r="D153" s="38"/>
      <c r="E153" s="39" t="s">
        <v>308</v>
      </c>
      <c r="F153" s="40"/>
      <c r="G153" s="41" t="s">
        <v>338</v>
      </c>
      <c r="H153" s="46"/>
      <c r="I153" s="60" t="s">
        <v>13</v>
      </c>
      <c r="J153" s="61"/>
      <c r="K153" s="61"/>
      <c r="L153" s="61"/>
      <c r="M153" s="44"/>
      <c r="N153" s="45"/>
    </row>
    <row r="154" spans="3:14" ht="13.2">
      <c r="C154" s="48" t="s">
        <v>145</v>
      </c>
      <c r="D154" s="38"/>
      <c r="E154" s="39" t="s">
        <v>295</v>
      </c>
      <c r="F154" s="40"/>
      <c r="G154" s="41" t="s">
        <v>295</v>
      </c>
      <c r="H154" s="46"/>
      <c r="I154" s="60" t="s">
        <v>13</v>
      </c>
      <c r="J154" s="61"/>
      <c r="K154" s="61"/>
      <c r="L154" s="61"/>
      <c r="M154" s="44"/>
      <c r="N154" s="45"/>
    </row>
    <row r="155" spans="3:14" ht="13.2">
      <c r="C155" s="48" t="s">
        <v>146</v>
      </c>
      <c r="D155" s="38"/>
      <c r="E155" s="39" t="s">
        <v>295</v>
      </c>
      <c r="F155" s="40"/>
      <c r="G155" s="41" t="s">
        <v>295</v>
      </c>
      <c r="H155" s="46"/>
      <c r="I155" s="60" t="s">
        <v>13</v>
      </c>
      <c r="J155" s="61"/>
      <c r="K155" s="61"/>
      <c r="L155" s="61"/>
      <c r="M155" s="44"/>
      <c r="N155" s="45"/>
    </row>
    <row r="156" spans="3:14" ht="13.2">
      <c r="C156" s="48" t="s">
        <v>147</v>
      </c>
      <c r="D156" s="38"/>
      <c r="E156" s="39" t="s">
        <v>295</v>
      </c>
      <c r="F156" s="40"/>
      <c r="G156" s="41" t="s">
        <v>339</v>
      </c>
      <c r="H156" s="46"/>
      <c r="I156" s="60" t="s">
        <v>13</v>
      </c>
      <c r="J156" s="61"/>
      <c r="K156" s="61"/>
      <c r="L156" s="61"/>
      <c r="M156" s="44"/>
      <c r="N156" s="45"/>
    </row>
    <row r="157" spans="3:14" ht="13.2">
      <c r="C157" s="48" t="s">
        <v>148</v>
      </c>
      <c r="D157" s="38"/>
      <c r="E157" s="39" t="s">
        <v>295</v>
      </c>
      <c r="F157" s="40"/>
      <c r="G157" s="41" t="s">
        <v>295</v>
      </c>
      <c r="H157" s="46"/>
      <c r="I157" s="60" t="s">
        <v>13</v>
      </c>
      <c r="J157" s="61"/>
      <c r="K157" s="61"/>
      <c r="L157" s="61"/>
      <c r="M157" s="44"/>
      <c r="N157" s="45"/>
    </row>
    <row r="158" spans="3:14" ht="13.2">
      <c r="C158" s="48" t="s">
        <v>149</v>
      </c>
      <c r="D158" s="38"/>
      <c r="E158" s="39" t="s">
        <v>331</v>
      </c>
      <c r="F158" s="40"/>
      <c r="G158" s="41" t="s">
        <v>331</v>
      </c>
      <c r="H158" s="46"/>
      <c r="I158" s="60" t="s">
        <v>13</v>
      </c>
      <c r="J158" s="61"/>
      <c r="K158" s="61"/>
      <c r="L158" s="61"/>
      <c r="M158" s="44"/>
      <c r="N158" s="45"/>
    </row>
    <row r="159" spans="3:14" ht="13.2">
      <c r="C159" s="48" t="s">
        <v>150</v>
      </c>
      <c r="D159" s="38"/>
      <c r="E159" s="39" t="s">
        <v>326</v>
      </c>
      <c r="F159" s="40"/>
      <c r="G159" s="41" t="s">
        <v>326</v>
      </c>
      <c r="H159" s="46"/>
      <c r="I159" s="60" t="s">
        <v>13</v>
      </c>
      <c r="J159" s="61"/>
      <c r="K159" s="61"/>
      <c r="L159" s="61"/>
      <c r="M159" s="44"/>
      <c r="N159" s="45"/>
    </row>
    <row r="160" spans="3:14" ht="13.2">
      <c r="C160" s="48" t="s">
        <v>151</v>
      </c>
      <c r="D160" s="38"/>
      <c r="E160" s="39" t="s">
        <v>288</v>
      </c>
      <c r="F160" s="40"/>
      <c r="G160" s="41" t="s">
        <v>295</v>
      </c>
      <c r="H160" s="46"/>
      <c r="I160" s="60" t="s">
        <v>13</v>
      </c>
      <c r="J160" s="61"/>
      <c r="K160" s="61"/>
      <c r="L160" s="61"/>
      <c r="M160" s="44"/>
      <c r="N160" s="45"/>
    </row>
    <row r="161" spans="3:14" ht="13.2">
      <c r="C161" s="48"/>
      <c r="D161" s="38"/>
      <c r="E161" s="39"/>
      <c r="F161" s="40"/>
      <c r="G161" s="41"/>
      <c r="H161" s="46"/>
      <c r="I161" s="60" t="s">
        <v>11</v>
      </c>
      <c r="J161" s="61"/>
      <c r="K161" s="61"/>
      <c r="L161" s="61"/>
      <c r="M161" s="44"/>
      <c r="N161" s="45"/>
    </row>
    <row r="162" spans="3:14" ht="13.2">
      <c r="C162" s="48" t="s">
        <v>152</v>
      </c>
      <c r="D162" s="38"/>
      <c r="E162" s="39" t="s">
        <v>335</v>
      </c>
      <c r="F162" s="40"/>
      <c r="G162" s="41" t="s">
        <v>335</v>
      </c>
      <c r="H162" s="46"/>
      <c r="I162" s="60" t="s">
        <v>13</v>
      </c>
      <c r="J162" s="61"/>
      <c r="K162" s="61"/>
      <c r="L162" s="61"/>
      <c r="M162" s="44"/>
      <c r="N162" s="45"/>
    </row>
    <row r="163" spans="3:14" ht="13.2">
      <c r="C163" s="48" t="s">
        <v>153</v>
      </c>
      <c r="D163" s="38"/>
      <c r="E163" s="39" t="s">
        <v>340</v>
      </c>
      <c r="F163" s="40"/>
      <c r="G163" s="41" t="s">
        <v>340</v>
      </c>
      <c r="H163" s="46"/>
      <c r="I163" s="60" t="s">
        <v>13</v>
      </c>
      <c r="J163" s="61"/>
      <c r="K163" s="61"/>
      <c r="L163" s="61"/>
      <c r="M163" s="44"/>
      <c r="N163" s="45"/>
    </row>
    <row r="164" spans="3:14" ht="13.2">
      <c r="C164" s="48" t="s">
        <v>154</v>
      </c>
      <c r="D164" s="38"/>
      <c r="E164" s="39" t="s">
        <v>295</v>
      </c>
      <c r="F164" s="40"/>
      <c r="G164" s="41" t="s">
        <v>295</v>
      </c>
      <c r="H164" s="46"/>
      <c r="I164" s="60" t="s">
        <v>13</v>
      </c>
      <c r="J164" s="61"/>
      <c r="K164" s="61"/>
      <c r="L164" s="61"/>
      <c r="M164" s="44"/>
      <c r="N164" s="45"/>
    </row>
    <row r="165" spans="3:14" ht="13.2">
      <c r="C165" s="48" t="s">
        <v>155</v>
      </c>
      <c r="D165" s="38"/>
      <c r="E165" s="39" t="s">
        <v>295</v>
      </c>
      <c r="F165" s="40"/>
      <c r="G165" s="41" t="s">
        <v>295</v>
      </c>
      <c r="H165" s="46"/>
      <c r="I165" s="60" t="s">
        <v>13</v>
      </c>
      <c r="J165" s="61"/>
      <c r="K165" s="61"/>
      <c r="L165" s="61"/>
      <c r="M165" s="44"/>
      <c r="N165" s="45"/>
    </row>
    <row r="166" spans="3:14" ht="13.2">
      <c r="C166" s="48" t="s">
        <v>156</v>
      </c>
      <c r="D166" s="38"/>
      <c r="E166" s="39" t="s">
        <v>295</v>
      </c>
      <c r="F166" s="40"/>
      <c r="G166" s="41" t="s">
        <v>315</v>
      </c>
      <c r="H166" s="46"/>
      <c r="I166" s="60" t="s">
        <v>13</v>
      </c>
      <c r="J166" s="61"/>
      <c r="K166" s="61"/>
      <c r="L166" s="61"/>
      <c r="M166" s="44"/>
      <c r="N166" s="45"/>
    </row>
    <row r="167" spans="3:14" ht="13.2">
      <c r="C167" s="62" t="s">
        <v>157</v>
      </c>
      <c r="D167" s="63"/>
      <c r="E167" s="64"/>
      <c r="F167" s="65"/>
      <c r="G167" s="66"/>
      <c r="H167" s="67"/>
      <c r="I167" s="60" t="s">
        <v>13</v>
      </c>
      <c r="J167" s="61"/>
      <c r="K167" s="61"/>
      <c r="L167" s="61"/>
      <c r="M167" s="44"/>
      <c r="N167" s="45"/>
    </row>
    <row r="168" spans="3:14" ht="13.2">
      <c r="C168" s="7" t="s">
        <v>158</v>
      </c>
      <c r="D168" s="7"/>
      <c r="E168" s="68" t="s">
        <v>308</v>
      </c>
      <c r="F168" s="68"/>
      <c r="G168" s="69" t="s">
        <v>342</v>
      </c>
      <c r="H168" s="70"/>
      <c r="I168" s="60" t="s">
        <v>13</v>
      </c>
      <c r="J168" s="61"/>
      <c r="K168" s="61"/>
      <c r="L168" s="61"/>
      <c r="M168" s="44"/>
      <c r="N168" s="45"/>
    </row>
    <row r="169" spans="3:14" ht="13.2">
      <c r="C169" s="7" t="s">
        <v>159</v>
      </c>
      <c r="D169" s="7"/>
      <c r="E169" s="71" t="s">
        <v>341</v>
      </c>
      <c r="F169" s="71"/>
      <c r="G169" s="71" t="s">
        <v>341</v>
      </c>
      <c r="H169" s="72"/>
      <c r="I169" s="51" t="s">
        <v>160</v>
      </c>
      <c r="J169" s="61"/>
      <c r="K169" s="61"/>
      <c r="L169" s="61"/>
      <c r="M169" s="44">
        <f>MIN(J169:L169)</f>
        <v>0</v>
      </c>
      <c r="N169" s="45" t="e">
        <f>SUM(M169/E169)</f>
        <v>#VALUE!</v>
      </c>
    </row>
    <row r="170" spans="3:14" ht="13.2">
      <c r="C170" s="48" t="s">
        <v>161</v>
      </c>
      <c r="D170" s="73"/>
      <c r="E170" s="68" t="s">
        <v>295</v>
      </c>
      <c r="F170" s="68"/>
      <c r="G170" s="69" t="s">
        <v>295</v>
      </c>
      <c r="H170" s="70"/>
      <c r="I170" s="51" t="s">
        <v>160</v>
      </c>
      <c r="J170" s="61"/>
      <c r="K170" s="61"/>
      <c r="L170" s="61"/>
      <c r="M170" s="44"/>
      <c r="N170" s="45"/>
    </row>
    <row r="171" spans="3:14" ht="13.2">
      <c r="C171" s="48" t="s">
        <v>162</v>
      </c>
      <c r="D171" s="73"/>
      <c r="E171" s="68" t="s">
        <v>308</v>
      </c>
      <c r="F171" s="68"/>
      <c r="G171" s="69" t="s">
        <v>342</v>
      </c>
      <c r="H171" s="70"/>
      <c r="I171" s="51" t="s">
        <v>163</v>
      </c>
      <c r="J171" s="61"/>
      <c r="K171" s="61"/>
      <c r="L171" s="61"/>
      <c r="M171" s="44"/>
      <c r="N171" s="45"/>
    </row>
    <row r="172" spans="3:14" ht="13.2">
      <c r="C172" s="48" t="s">
        <v>164</v>
      </c>
      <c r="D172" s="73"/>
      <c r="E172" s="68" t="s">
        <v>295</v>
      </c>
      <c r="F172" s="68"/>
      <c r="G172" s="69" t="s">
        <v>295</v>
      </c>
      <c r="H172" s="70"/>
      <c r="I172" s="51" t="s">
        <v>95</v>
      </c>
      <c r="J172" s="61"/>
      <c r="K172" s="61"/>
      <c r="L172" s="61"/>
      <c r="M172" s="44"/>
      <c r="N172" s="45"/>
    </row>
    <row r="173" spans="3:14" ht="13.2">
      <c r="C173" s="48" t="s">
        <v>165</v>
      </c>
      <c r="D173" s="73"/>
      <c r="E173" s="68" t="s">
        <v>295</v>
      </c>
      <c r="F173" s="68"/>
      <c r="G173" s="69" t="s">
        <v>295</v>
      </c>
      <c r="H173" s="70"/>
      <c r="I173" s="51" t="s">
        <v>115</v>
      </c>
      <c r="J173" s="61"/>
      <c r="K173" s="61"/>
      <c r="L173" s="61"/>
      <c r="M173" s="44"/>
      <c r="N173" s="45"/>
    </row>
    <row r="174" spans="3:14" s="16" customFormat="1" ht="16.5" customHeight="1">
      <c r="C174" s="6" t="s">
        <v>166</v>
      </c>
      <c r="D174" s="6"/>
      <c r="E174" s="5"/>
      <c r="F174" s="5"/>
      <c r="G174" s="5"/>
      <c r="H174" s="74"/>
      <c r="I174" s="9"/>
      <c r="J174" s="53"/>
      <c r="K174" s="53"/>
      <c r="L174" s="53"/>
      <c r="M174" s="44">
        <f>MIN(J174:L174)</f>
        <v>0</v>
      </c>
      <c r="N174" s="45" t="e">
        <f>SUM(M174/E174)</f>
        <v>#DIV/0!</v>
      </c>
    </row>
    <row r="175" spans="3:14" s="16" customFormat="1" ht="16.5" customHeight="1">
      <c r="C175" s="6"/>
      <c r="D175" s="6"/>
      <c r="E175" s="54" t="s">
        <v>6</v>
      </c>
      <c r="F175" s="55"/>
      <c r="G175" s="56" t="s">
        <v>7</v>
      </c>
      <c r="H175" s="57" t="s">
        <v>8</v>
      </c>
      <c r="I175" s="9"/>
      <c r="J175" s="53"/>
      <c r="K175" s="53"/>
      <c r="L175" s="53"/>
      <c r="M175" s="44">
        <f>MIN(J175:L175)</f>
        <v>0</v>
      </c>
      <c r="N175" s="45" t="e">
        <f>SUM(M175/E175)</f>
        <v>#VALUE!</v>
      </c>
    </row>
    <row r="176" spans="3:14" ht="13.2">
      <c r="C176" s="37" t="s">
        <v>167</v>
      </c>
      <c r="D176" s="38"/>
      <c r="E176" s="39" t="s">
        <v>295</v>
      </c>
      <c r="F176" s="40"/>
      <c r="G176" s="41" t="s">
        <v>315</v>
      </c>
      <c r="H176" s="46"/>
      <c r="I176" s="75" t="s">
        <v>13</v>
      </c>
      <c r="J176" s="61"/>
      <c r="K176" s="61"/>
      <c r="L176" s="61"/>
      <c r="M176" s="44">
        <f>MIN(J176:L176)</f>
        <v>0</v>
      </c>
      <c r="N176" s="45" t="e">
        <f>SUM(M176/E176)</f>
        <v>#VALUE!</v>
      </c>
    </row>
    <row r="177" spans="3:14" ht="13.2">
      <c r="C177" s="47" t="s">
        <v>168</v>
      </c>
      <c r="D177" s="38"/>
      <c r="E177" s="39" t="s">
        <v>295</v>
      </c>
      <c r="F177" s="40"/>
      <c r="G177" s="41" t="s">
        <v>295</v>
      </c>
      <c r="H177" s="46"/>
      <c r="I177" s="75" t="s">
        <v>13</v>
      </c>
      <c r="J177" s="61"/>
      <c r="K177" s="61"/>
      <c r="L177" s="61"/>
      <c r="M177" s="44"/>
      <c r="N177" s="45"/>
    </row>
    <row r="178" spans="3:14" ht="13.2">
      <c r="C178" s="47" t="s">
        <v>169</v>
      </c>
      <c r="D178" s="38"/>
      <c r="E178" s="39" t="s">
        <v>295</v>
      </c>
      <c r="F178" s="40"/>
      <c r="G178" s="41" t="s">
        <v>295</v>
      </c>
      <c r="H178" s="46"/>
      <c r="I178" s="75" t="s">
        <v>13</v>
      </c>
      <c r="J178" s="61"/>
      <c r="K178" s="61"/>
      <c r="L178" s="61"/>
      <c r="M178" s="44"/>
      <c r="N178" s="45"/>
    </row>
    <row r="179" spans="3:14" ht="13.2">
      <c r="C179" s="47" t="s">
        <v>170</v>
      </c>
      <c r="D179" s="38"/>
      <c r="E179" s="39" t="s">
        <v>295</v>
      </c>
      <c r="F179" s="40"/>
      <c r="G179" s="41" t="s">
        <v>295</v>
      </c>
      <c r="H179" s="46"/>
      <c r="I179" s="75" t="s">
        <v>13</v>
      </c>
      <c r="J179" s="61"/>
      <c r="K179" s="61"/>
      <c r="L179" s="61"/>
      <c r="M179" s="44"/>
      <c r="N179" s="45"/>
    </row>
    <row r="180" spans="3:14" ht="13.2">
      <c r="C180" s="47" t="s">
        <v>171</v>
      </c>
      <c r="D180" s="38"/>
      <c r="E180" s="39" t="s">
        <v>295</v>
      </c>
      <c r="F180" s="40"/>
      <c r="G180" s="41" t="s">
        <v>315</v>
      </c>
      <c r="H180" s="46"/>
      <c r="I180" s="75" t="s">
        <v>13</v>
      </c>
      <c r="J180" s="61"/>
      <c r="K180" s="61"/>
      <c r="L180" s="61"/>
      <c r="M180" s="44"/>
      <c r="N180" s="45"/>
    </row>
    <row r="181" spans="3:14" ht="13.2">
      <c r="C181" s="37" t="s">
        <v>172</v>
      </c>
      <c r="D181" s="38"/>
      <c r="E181" s="39" t="s">
        <v>295</v>
      </c>
      <c r="F181" s="40"/>
      <c r="G181" s="41" t="s">
        <v>295</v>
      </c>
      <c r="H181" s="46"/>
      <c r="I181" s="75" t="s">
        <v>13</v>
      </c>
      <c r="J181" s="61"/>
      <c r="K181" s="61"/>
      <c r="L181" s="61"/>
      <c r="M181" s="44">
        <f>MIN(J181:L181)</f>
        <v>0</v>
      </c>
      <c r="N181" s="45" t="e">
        <f>SUM(M181/E181)</f>
        <v>#VALUE!</v>
      </c>
    </row>
    <row r="182" spans="3:14" ht="13.2">
      <c r="C182" s="47" t="s">
        <v>173</v>
      </c>
      <c r="D182" s="38"/>
      <c r="E182" s="39" t="s">
        <v>295</v>
      </c>
      <c r="F182" s="40"/>
      <c r="G182" s="41" t="s">
        <v>295</v>
      </c>
      <c r="H182" s="46"/>
      <c r="I182" s="75"/>
      <c r="J182" s="61"/>
      <c r="K182" s="61"/>
      <c r="L182" s="61"/>
      <c r="M182" s="44"/>
      <c r="N182" s="45"/>
    </row>
    <row r="183" spans="3:14" ht="13.2">
      <c r="C183" s="47" t="s">
        <v>174</v>
      </c>
      <c r="D183" s="38"/>
      <c r="E183" s="39"/>
      <c r="F183" s="40"/>
      <c r="G183" s="41"/>
      <c r="H183" s="46"/>
      <c r="I183" s="75" t="s">
        <v>13</v>
      </c>
      <c r="J183" s="61"/>
      <c r="K183" s="61"/>
      <c r="L183" s="61"/>
      <c r="M183" s="44">
        <f>MIN(J183:L183)</f>
        <v>0</v>
      </c>
      <c r="N183" s="45" t="e">
        <f>SUM(M183/E183)</f>
        <v>#DIV/0!</v>
      </c>
    </row>
    <row r="184" spans="3:14" ht="13.2">
      <c r="C184" s="47" t="s">
        <v>175</v>
      </c>
      <c r="D184" s="38"/>
      <c r="E184" s="39"/>
      <c r="F184" s="40"/>
      <c r="G184" s="41"/>
      <c r="H184" s="46"/>
      <c r="I184" s="75" t="s">
        <v>13</v>
      </c>
      <c r="J184" s="61"/>
      <c r="K184" s="61"/>
      <c r="L184" s="61"/>
      <c r="M184" s="44"/>
      <c r="N184" s="45"/>
    </row>
    <row r="185" spans="3:14" ht="13.2">
      <c r="C185" s="37" t="s">
        <v>176</v>
      </c>
      <c r="D185" s="38"/>
      <c r="E185" s="39" t="s">
        <v>295</v>
      </c>
      <c r="F185" s="40"/>
      <c r="G185" s="41" t="s">
        <v>295</v>
      </c>
      <c r="H185" s="46"/>
      <c r="I185" s="75" t="s">
        <v>13</v>
      </c>
      <c r="J185" s="61"/>
      <c r="K185" s="61"/>
      <c r="L185" s="61"/>
      <c r="M185" s="44">
        <f t="shared" ref="M185:M194" si="10">MIN(J185:L185)</f>
        <v>0</v>
      </c>
      <c r="N185" s="45" t="e">
        <f t="shared" ref="N185:N194" si="11">SUM(M185/E185)</f>
        <v>#VALUE!</v>
      </c>
    </row>
    <row r="186" spans="3:14" ht="13.2">
      <c r="C186" s="37"/>
      <c r="D186" s="38"/>
      <c r="E186" s="39"/>
      <c r="F186" s="40"/>
      <c r="G186" s="41"/>
      <c r="H186" s="46"/>
      <c r="I186" s="75" t="s">
        <v>13</v>
      </c>
      <c r="J186" s="61"/>
      <c r="K186" s="61"/>
      <c r="L186" s="61"/>
      <c r="M186" s="44">
        <f t="shared" si="10"/>
        <v>0</v>
      </c>
      <c r="N186" s="45" t="e">
        <f t="shared" si="11"/>
        <v>#DIV/0!</v>
      </c>
    </row>
    <row r="187" spans="3:14" ht="13.2">
      <c r="C187" s="37" t="s">
        <v>177</v>
      </c>
      <c r="D187" s="38"/>
      <c r="E187" s="39" t="s">
        <v>295</v>
      </c>
      <c r="F187" s="40"/>
      <c r="G187" s="41" t="s">
        <v>295</v>
      </c>
      <c r="H187" s="46"/>
      <c r="I187" s="75" t="s">
        <v>13</v>
      </c>
      <c r="J187" s="61"/>
      <c r="K187" s="61"/>
      <c r="L187" s="61"/>
      <c r="M187" s="44">
        <f t="shared" si="10"/>
        <v>0</v>
      </c>
      <c r="N187" s="45" t="e">
        <f t="shared" si="11"/>
        <v>#VALUE!</v>
      </c>
    </row>
    <row r="188" spans="3:14" ht="13.2">
      <c r="C188" s="37" t="s">
        <v>178</v>
      </c>
      <c r="D188" s="38"/>
      <c r="E188" s="39" t="s">
        <v>295</v>
      </c>
      <c r="F188" s="40"/>
      <c r="G188" s="41" t="s">
        <v>295</v>
      </c>
      <c r="H188" s="46"/>
      <c r="I188" s="75" t="s">
        <v>13</v>
      </c>
      <c r="J188" s="61"/>
      <c r="K188" s="61"/>
      <c r="L188" s="61"/>
      <c r="M188" s="44">
        <f t="shared" si="10"/>
        <v>0</v>
      </c>
      <c r="N188" s="45" t="e">
        <f t="shared" si="11"/>
        <v>#VALUE!</v>
      </c>
    </row>
    <row r="189" spans="3:14" ht="13.2">
      <c r="C189" s="76" t="s">
        <v>179</v>
      </c>
      <c r="D189" s="77"/>
      <c r="E189" s="39" t="s">
        <v>295</v>
      </c>
      <c r="F189" s="40"/>
      <c r="G189" s="41" t="s">
        <v>295</v>
      </c>
      <c r="H189" s="46"/>
      <c r="I189" s="75" t="s">
        <v>13</v>
      </c>
      <c r="J189" s="61"/>
      <c r="K189" s="61"/>
      <c r="L189" s="61"/>
      <c r="M189" s="44">
        <f t="shared" si="10"/>
        <v>0</v>
      </c>
      <c r="N189" s="45" t="e">
        <f t="shared" si="11"/>
        <v>#VALUE!</v>
      </c>
    </row>
    <row r="190" spans="3:14" ht="13.2">
      <c r="C190" s="76" t="s">
        <v>180</v>
      </c>
      <c r="D190" s="77"/>
      <c r="E190" s="39" t="s">
        <v>295</v>
      </c>
      <c r="F190" s="40"/>
      <c r="G190" s="41" t="s">
        <v>295</v>
      </c>
      <c r="H190" s="46"/>
      <c r="I190" s="75" t="s">
        <v>13</v>
      </c>
      <c r="J190" s="61"/>
      <c r="K190" s="61"/>
      <c r="L190" s="61"/>
      <c r="M190" s="44">
        <f t="shared" si="10"/>
        <v>0</v>
      </c>
      <c r="N190" s="45" t="e">
        <f t="shared" si="11"/>
        <v>#VALUE!</v>
      </c>
    </row>
    <row r="191" spans="3:14" ht="13.2">
      <c r="C191" s="76" t="s">
        <v>181</v>
      </c>
      <c r="D191" s="77"/>
      <c r="E191" s="39" t="s">
        <v>295</v>
      </c>
      <c r="F191" s="40"/>
      <c r="G191" s="41" t="s">
        <v>295</v>
      </c>
      <c r="H191" s="46"/>
      <c r="I191" s="75" t="s">
        <v>13</v>
      </c>
      <c r="J191" s="61"/>
      <c r="K191" s="61"/>
      <c r="L191" s="61"/>
      <c r="M191" s="44">
        <f t="shared" si="10"/>
        <v>0</v>
      </c>
      <c r="N191" s="45" t="e">
        <f t="shared" si="11"/>
        <v>#VALUE!</v>
      </c>
    </row>
    <row r="192" spans="3:14" ht="13.2">
      <c r="C192" s="78" t="s">
        <v>182</v>
      </c>
      <c r="D192" s="77"/>
      <c r="E192" s="68" t="s">
        <v>295</v>
      </c>
      <c r="F192" s="68"/>
      <c r="G192" s="69" t="s">
        <v>295</v>
      </c>
      <c r="H192" s="79"/>
      <c r="I192" s="75" t="s">
        <v>13</v>
      </c>
      <c r="J192" s="61"/>
      <c r="K192" s="61"/>
      <c r="L192" s="61"/>
      <c r="M192" s="44">
        <f t="shared" si="10"/>
        <v>0</v>
      </c>
      <c r="N192" s="45" t="e">
        <f t="shared" si="11"/>
        <v>#VALUE!</v>
      </c>
    </row>
    <row r="193" spans="1:14" ht="13.2">
      <c r="C193" s="78" t="s">
        <v>183</v>
      </c>
      <c r="D193" s="77"/>
      <c r="E193" s="68" t="s">
        <v>295</v>
      </c>
      <c r="F193" s="68"/>
      <c r="G193" s="69" t="s">
        <v>295</v>
      </c>
      <c r="H193" s="80"/>
      <c r="I193" s="75" t="s">
        <v>13</v>
      </c>
      <c r="J193" s="61"/>
      <c r="K193" s="61"/>
      <c r="L193" s="61"/>
      <c r="M193" s="44">
        <f t="shared" si="10"/>
        <v>0</v>
      </c>
      <c r="N193" s="45" t="e">
        <f t="shared" si="11"/>
        <v>#VALUE!</v>
      </c>
    </row>
    <row r="194" spans="1:14" ht="13.2">
      <c r="C194" s="78" t="s">
        <v>184</v>
      </c>
      <c r="D194" s="40"/>
      <c r="E194" s="68" t="s">
        <v>295</v>
      </c>
      <c r="F194" s="68"/>
      <c r="G194" s="69" t="s">
        <v>295</v>
      </c>
      <c r="H194" s="70"/>
      <c r="I194" s="75" t="s">
        <v>13</v>
      </c>
      <c r="J194" s="61"/>
      <c r="K194" s="61"/>
      <c r="L194" s="61"/>
      <c r="M194" s="44">
        <f t="shared" si="10"/>
        <v>0</v>
      </c>
      <c r="N194" s="45" t="e">
        <f t="shared" si="11"/>
        <v>#VALUE!</v>
      </c>
    </row>
    <row r="195" spans="1:14" ht="13.2">
      <c r="C195" s="4" t="s">
        <v>185</v>
      </c>
      <c r="D195" s="4"/>
      <c r="E195" s="68" t="s">
        <v>295</v>
      </c>
      <c r="F195" s="68"/>
      <c r="G195" s="69" t="s">
        <v>295</v>
      </c>
      <c r="H195" s="70"/>
      <c r="I195" s="75"/>
      <c r="J195" s="61"/>
      <c r="K195" s="61"/>
      <c r="L195" s="61"/>
      <c r="M195" s="44"/>
      <c r="N195" s="45"/>
    </row>
    <row r="196" spans="1:14" ht="13.2">
      <c r="C196" s="4" t="s">
        <v>186</v>
      </c>
      <c r="D196" s="4"/>
      <c r="E196" s="68" t="s">
        <v>295</v>
      </c>
      <c r="F196" s="68"/>
      <c r="G196" s="69" t="s">
        <v>315</v>
      </c>
      <c r="H196" s="70"/>
      <c r="I196" s="75"/>
      <c r="J196" s="61"/>
      <c r="K196" s="61"/>
      <c r="L196" s="61"/>
      <c r="M196" s="44"/>
      <c r="N196" s="45"/>
    </row>
    <row r="197" spans="1:14" ht="13.2">
      <c r="C197" s="4" t="s">
        <v>187</v>
      </c>
      <c r="D197" s="4"/>
      <c r="E197" s="68" t="s">
        <v>295</v>
      </c>
      <c r="F197" s="68"/>
      <c r="G197" s="69" t="s">
        <v>295</v>
      </c>
      <c r="H197" s="70"/>
      <c r="I197" s="75" t="s">
        <v>105</v>
      </c>
      <c r="J197" s="61"/>
      <c r="K197" s="61"/>
      <c r="L197" s="61"/>
      <c r="M197" s="44"/>
      <c r="N197" s="45"/>
    </row>
    <row r="198" spans="1:14" ht="13.2">
      <c r="C198" s="4" t="s">
        <v>188</v>
      </c>
      <c r="D198" s="4"/>
      <c r="E198" s="68" t="s">
        <v>295</v>
      </c>
      <c r="F198" s="68"/>
      <c r="G198" s="69" t="s">
        <v>295</v>
      </c>
      <c r="H198" s="70"/>
      <c r="I198" s="75" t="s">
        <v>13</v>
      </c>
      <c r="J198" s="61"/>
      <c r="K198" s="61"/>
      <c r="L198" s="61"/>
      <c r="M198" s="44"/>
      <c r="N198" s="45"/>
    </row>
    <row r="199" spans="1:14" ht="13.2">
      <c r="C199" s="4" t="s">
        <v>189</v>
      </c>
      <c r="D199" s="4"/>
      <c r="E199" s="68" t="s">
        <v>295</v>
      </c>
      <c r="F199" s="68"/>
      <c r="G199" s="69" t="s">
        <v>295</v>
      </c>
      <c r="H199" s="70"/>
      <c r="I199" s="75" t="s">
        <v>13</v>
      </c>
      <c r="J199" s="61"/>
      <c r="K199" s="61"/>
      <c r="L199" s="61"/>
      <c r="M199" s="44">
        <f>MIN(J199:L199)</f>
        <v>0</v>
      </c>
      <c r="N199" s="45" t="e">
        <f>SUM(M199/E199)</f>
        <v>#VALUE!</v>
      </c>
    </row>
    <row r="200" spans="1:14" ht="13.2">
      <c r="C200" s="3"/>
      <c r="D200" s="3"/>
      <c r="E200" s="53"/>
      <c r="F200" s="53"/>
      <c r="G200" s="82"/>
      <c r="H200" s="83"/>
      <c r="I200" s="60" t="s">
        <v>13</v>
      </c>
    </row>
    <row r="201" spans="1:14" ht="13.2">
      <c r="A201" s="16"/>
      <c r="C201" s="4" t="s">
        <v>190</v>
      </c>
      <c r="D201" s="4"/>
      <c r="E201" s="84">
        <v>1</v>
      </c>
      <c r="F201" s="84"/>
      <c r="G201" s="85">
        <v>1</v>
      </c>
      <c r="H201" s="86"/>
      <c r="I201" s="60" t="s">
        <v>13</v>
      </c>
    </row>
    <row r="202" spans="1:14" ht="13.2">
      <c r="C202" s="4"/>
      <c r="D202" s="4"/>
      <c r="E202" s="87"/>
      <c r="F202" s="87"/>
      <c r="G202" s="88"/>
      <c r="H202" s="89"/>
      <c r="I202" s="60" t="s">
        <v>13</v>
      </c>
    </row>
    <row r="203" spans="1:14" ht="13.2">
      <c r="C203" s="4" t="s">
        <v>191</v>
      </c>
      <c r="D203" s="4"/>
      <c r="E203" s="87" t="s">
        <v>295</v>
      </c>
      <c r="F203" s="87"/>
      <c r="G203" s="88" t="s">
        <v>295</v>
      </c>
      <c r="H203" s="89"/>
      <c r="I203" s="60" t="s">
        <v>13</v>
      </c>
    </row>
    <row r="204" spans="1:14" ht="13.2">
      <c r="C204" s="4" t="s">
        <v>192</v>
      </c>
      <c r="D204" s="4"/>
      <c r="E204" s="87" t="s">
        <v>295</v>
      </c>
      <c r="F204" s="87"/>
      <c r="G204" s="88" t="s">
        <v>339</v>
      </c>
      <c r="H204" s="89"/>
      <c r="I204" s="60" t="s">
        <v>13</v>
      </c>
    </row>
    <row r="205" spans="1:14" ht="13.2">
      <c r="C205" s="4" t="s">
        <v>193</v>
      </c>
      <c r="D205" s="4"/>
      <c r="E205" s="87" t="s">
        <v>295</v>
      </c>
      <c r="F205" s="87"/>
      <c r="G205" s="88" t="s">
        <v>305</v>
      </c>
      <c r="H205" s="89"/>
      <c r="I205" s="60" t="s">
        <v>13</v>
      </c>
    </row>
    <row r="206" spans="1:14" ht="12.75" customHeight="1">
      <c r="C206" s="2" t="s">
        <v>194</v>
      </c>
      <c r="D206" s="2"/>
      <c r="E206" s="90" t="s">
        <v>295</v>
      </c>
      <c r="F206" s="90"/>
      <c r="G206" s="51" t="s">
        <v>305</v>
      </c>
      <c r="H206" s="91"/>
      <c r="I206" s="58" t="s">
        <v>13</v>
      </c>
    </row>
    <row r="207" spans="1:14" ht="13.2">
      <c r="C207" s="49" t="s">
        <v>195</v>
      </c>
      <c r="D207" s="92"/>
      <c r="E207" s="90" t="s">
        <v>295</v>
      </c>
      <c r="F207" s="90"/>
      <c r="G207" s="51" t="s">
        <v>305</v>
      </c>
      <c r="H207" s="91"/>
      <c r="I207" s="58" t="s">
        <v>13</v>
      </c>
    </row>
    <row r="208" spans="1:14" ht="13.2">
      <c r="C208" s="49" t="s">
        <v>196</v>
      </c>
      <c r="D208" s="92"/>
      <c r="E208" s="90" t="s">
        <v>295</v>
      </c>
      <c r="F208" s="90"/>
      <c r="G208" s="51" t="s">
        <v>305</v>
      </c>
      <c r="H208" s="91"/>
      <c r="I208" s="58" t="s">
        <v>13</v>
      </c>
    </row>
    <row r="209" spans="3:9" ht="13.2">
      <c r="C209" s="4"/>
      <c r="D209" s="4"/>
      <c r="E209" s="90"/>
      <c r="F209" s="90"/>
      <c r="G209" s="51"/>
      <c r="H209" s="91"/>
      <c r="I209" s="58"/>
    </row>
    <row r="210" spans="3:9" ht="13.2">
      <c r="C210" s="4"/>
      <c r="D210" s="4"/>
      <c r="E210" s="90"/>
      <c r="F210" s="90"/>
      <c r="G210" s="51"/>
      <c r="H210" s="91"/>
      <c r="I210" s="58"/>
    </row>
    <row r="211" spans="3:9" ht="13.2">
      <c r="C211" s="4"/>
      <c r="D211" s="4"/>
      <c r="E211" s="90"/>
      <c r="F211" s="90"/>
      <c r="G211" s="51"/>
      <c r="H211" s="91"/>
      <c r="I211" s="58"/>
    </row>
    <row r="212" spans="3:9" ht="13.2">
      <c r="C212" s="81" t="s">
        <v>197</v>
      </c>
      <c r="D212" s="93"/>
      <c r="E212" s="87" t="s">
        <v>343</v>
      </c>
      <c r="F212" s="87"/>
      <c r="G212" s="88" t="s">
        <v>343</v>
      </c>
      <c r="H212" s="89"/>
      <c r="I212" s="60" t="s">
        <v>13</v>
      </c>
    </row>
    <row r="213" spans="3:9" ht="13.2">
      <c r="C213" s="81" t="s">
        <v>198</v>
      </c>
      <c r="D213" s="93"/>
      <c r="E213" s="87" t="s">
        <v>343</v>
      </c>
      <c r="F213" s="87"/>
      <c r="G213" s="88" t="s">
        <v>343</v>
      </c>
      <c r="H213" s="89"/>
      <c r="I213" s="60" t="s">
        <v>13</v>
      </c>
    </row>
    <row r="214" spans="3:9" ht="13.2">
      <c r="C214" s="81" t="s">
        <v>199</v>
      </c>
      <c r="D214" s="93"/>
      <c r="E214" s="87" t="s">
        <v>343</v>
      </c>
      <c r="F214" s="87"/>
      <c r="G214" s="88" t="s">
        <v>343</v>
      </c>
      <c r="H214" s="89"/>
      <c r="I214" s="60" t="s">
        <v>13</v>
      </c>
    </row>
    <row r="215" spans="3:9" ht="13.2">
      <c r="C215" s="81" t="s">
        <v>200</v>
      </c>
      <c r="D215" s="93"/>
      <c r="E215" s="87" t="s">
        <v>343</v>
      </c>
      <c r="F215" s="87"/>
      <c r="G215" s="88" t="s">
        <v>343</v>
      </c>
      <c r="H215" s="89"/>
      <c r="I215" s="60" t="s">
        <v>13</v>
      </c>
    </row>
    <row r="216" spans="3:9" ht="13.2">
      <c r="C216" s="81" t="s">
        <v>201</v>
      </c>
      <c r="D216" s="93"/>
      <c r="E216" s="87" t="s">
        <v>343</v>
      </c>
      <c r="F216" s="87"/>
      <c r="G216" s="88" t="s">
        <v>343</v>
      </c>
      <c r="H216" s="89"/>
      <c r="I216" s="60" t="s">
        <v>13</v>
      </c>
    </row>
    <row r="217" spans="3:9" ht="13.2">
      <c r="C217" s="81" t="s">
        <v>202</v>
      </c>
      <c r="D217" s="93"/>
      <c r="E217" s="87" t="s">
        <v>295</v>
      </c>
      <c r="F217" s="87"/>
      <c r="G217" s="88" t="s">
        <v>295</v>
      </c>
      <c r="H217" s="89"/>
      <c r="I217" s="60" t="s">
        <v>13</v>
      </c>
    </row>
    <row r="218" spans="3:9" ht="13.2">
      <c r="C218" s="4" t="s">
        <v>203</v>
      </c>
      <c r="D218" s="4"/>
      <c r="E218" s="87" t="s">
        <v>295</v>
      </c>
      <c r="F218" s="87"/>
      <c r="G218" s="88" t="s">
        <v>295</v>
      </c>
      <c r="H218" s="89"/>
      <c r="I218" s="60" t="s">
        <v>13</v>
      </c>
    </row>
    <row r="219" spans="3:9" ht="13.2">
      <c r="C219" s="81" t="s">
        <v>204</v>
      </c>
      <c r="D219" s="93"/>
      <c r="E219" s="87" t="s">
        <v>295</v>
      </c>
      <c r="F219" s="87"/>
      <c r="G219" s="88" t="s">
        <v>295</v>
      </c>
      <c r="H219" s="89"/>
      <c r="I219" s="60" t="s">
        <v>13</v>
      </c>
    </row>
    <row r="220" spans="3:9" ht="13.2">
      <c r="C220" s="81" t="s">
        <v>205</v>
      </c>
      <c r="D220" s="93"/>
      <c r="E220" s="87" t="s">
        <v>295</v>
      </c>
      <c r="F220" s="87"/>
      <c r="G220" s="88" t="s">
        <v>295</v>
      </c>
      <c r="H220" s="89"/>
      <c r="I220" s="60" t="s">
        <v>13</v>
      </c>
    </row>
    <row r="221" spans="3:9" ht="13.2">
      <c r="C221" s="4"/>
      <c r="D221" s="4"/>
      <c r="E221" s="87"/>
      <c r="F221" s="87"/>
      <c r="G221" s="88"/>
      <c r="H221" s="89"/>
      <c r="I221" s="60"/>
    </row>
    <row r="222" spans="3:9" ht="13.2">
      <c r="C222" s="4" t="s">
        <v>206</v>
      </c>
      <c r="D222" s="4"/>
      <c r="E222" s="87" t="s">
        <v>295</v>
      </c>
      <c r="F222" s="87"/>
      <c r="G222" s="88" t="s">
        <v>295</v>
      </c>
      <c r="H222" s="89"/>
      <c r="I222" s="60" t="s">
        <v>13</v>
      </c>
    </row>
    <row r="223" spans="3:9" ht="13.2">
      <c r="C223" s="63"/>
      <c r="D223" s="63"/>
      <c r="E223" s="94"/>
      <c r="F223" s="94"/>
      <c r="G223" s="95"/>
      <c r="H223" s="95"/>
      <c r="I223" s="96"/>
    </row>
  </sheetData>
  <mergeCells count="44">
    <mergeCell ref="C222:D222"/>
    <mergeCell ref="C209:D209"/>
    <mergeCell ref="C210:D210"/>
    <mergeCell ref="C211:D211"/>
    <mergeCell ref="C218:D218"/>
    <mergeCell ref="C221:D221"/>
    <mergeCell ref="C202:D202"/>
    <mergeCell ref="C203:D203"/>
    <mergeCell ref="C204:D204"/>
    <mergeCell ref="C205:D205"/>
    <mergeCell ref="C206:D206"/>
    <mergeCell ref="C197:D197"/>
    <mergeCell ref="C198:D198"/>
    <mergeCell ref="C199:D199"/>
    <mergeCell ref="C200:D200"/>
    <mergeCell ref="C201:D201"/>
    <mergeCell ref="C174:D175"/>
    <mergeCell ref="E174:G174"/>
    <mergeCell ref="I174:I175"/>
    <mergeCell ref="C195:D195"/>
    <mergeCell ref="C196:D196"/>
    <mergeCell ref="C116:D117"/>
    <mergeCell ref="E116:G116"/>
    <mergeCell ref="I116:I117"/>
    <mergeCell ref="C168:D168"/>
    <mergeCell ref="C169:D169"/>
    <mergeCell ref="C76:D77"/>
    <mergeCell ref="E76:G76"/>
    <mergeCell ref="I76:I77"/>
    <mergeCell ref="C98:D99"/>
    <mergeCell ref="E98:G98"/>
    <mergeCell ref="I98:I99"/>
    <mergeCell ref="C35:D36"/>
    <mergeCell ref="E35:G35"/>
    <mergeCell ref="I35:I36"/>
    <mergeCell ref="C47:D48"/>
    <mergeCell ref="E47:G47"/>
    <mergeCell ref="I47:I48"/>
    <mergeCell ref="C5:D6"/>
    <mergeCell ref="E5:G5"/>
    <mergeCell ref="I5:I6"/>
    <mergeCell ref="C24:D25"/>
    <mergeCell ref="E24:G24"/>
    <mergeCell ref="I24:I25"/>
  </mergeCells>
  <printOptions horizontalCentered="1"/>
  <pageMargins left="0" right="0" top="0" bottom="0" header="0" footer="0"/>
  <pageSetup orientation="portrait" horizontalDpi="300" verticalDpi="300" r:id="rId1"/>
  <headerFooter>
    <oddHeader>&amp;R&amp;D</oddHeader>
    <oddFooter>&amp;R&amp;P</oddFooter>
  </headerFooter>
</worksheet>
</file>

<file path=xl/worksheets/sheet2.xml><?xml version="1.0" encoding="utf-8"?>
<worksheet xmlns="http://schemas.openxmlformats.org/spreadsheetml/2006/main" xmlns:r="http://schemas.openxmlformats.org/officeDocument/2006/relationships">
  <dimension ref="A1:AA490"/>
  <sheetViews>
    <sheetView showGridLines="0" topLeftCell="A35" zoomScale="125" zoomScaleNormal="125" workbookViewId="0">
      <selection activeCell="C89" activeCellId="1" sqref="G8:G23 C89"/>
    </sheetView>
  </sheetViews>
  <sheetFormatPr defaultColWidth="9.109375" defaultRowHeight="12.75" customHeight="1"/>
  <cols>
    <col min="1" max="1" width="1.88671875" style="15" customWidth="1"/>
    <col min="2" max="2" width="5" style="15" customWidth="1"/>
    <col min="3" max="3" width="15.88671875" style="15" customWidth="1"/>
    <col min="4" max="4" width="15.109375" style="15" customWidth="1"/>
    <col min="5" max="5" width="10.44140625" style="97" customWidth="1"/>
    <col min="6" max="6" width="10.44140625" style="98" customWidth="1"/>
    <col min="7" max="7" width="8.33203125" style="99" customWidth="1"/>
    <col min="8" max="8" width="10.44140625" style="100" customWidth="1"/>
    <col min="9" max="9" width="10.44140625" style="101" customWidth="1"/>
    <col min="10" max="10" width="10.6640625" style="102" customWidth="1"/>
    <col min="11" max="11" width="13.109375" style="98" customWidth="1"/>
    <col min="12" max="12" width="14.88671875" style="98" customWidth="1"/>
    <col min="13" max="26" width="9.109375" style="15"/>
    <col min="27" max="16384" width="9.109375" style="103"/>
  </cols>
  <sheetData>
    <row r="1" spans="2:27" s="15" customFormat="1" ht="22.8">
      <c r="B1" s="18" t="str">
        <f>FOOD!C1</f>
        <v xml:space="preserve">THE NEST </v>
      </c>
      <c r="E1" s="16"/>
      <c r="F1" s="17"/>
      <c r="G1" s="104"/>
      <c r="H1" s="19"/>
      <c r="I1" s="105"/>
      <c r="J1" s="106"/>
      <c r="K1" s="17"/>
      <c r="L1" s="17"/>
      <c r="AA1" s="103"/>
    </row>
    <row r="2" spans="2:27" s="15" customFormat="1" ht="13.2">
      <c r="B2" s="15" t="s">
        <v>207</v>
      </c>
      <c r="E2" s="16"/>
      <c r="F2" s="17"/>
      <c r="G2" s="104"/>
      <c r="H2" s="19" t="s">
        <v>2</v>
      </c>
      <c r="I2" s="105"/>
      <c r="J2" s="106"/>
      <c r="K2" s="17"/>
      <c r="L2" s="17"/>
      <c r="AA2" s="103"/>
    </row>
    <row r="3" spans="2:27" s="15" customFormat="1" ht="13.2">
      <c r="D3" s="107"/>
      <c r="F3" s="17"/>
      <c r="G3" s="104"/>
      <c r="H3" s="19"/>
      <c r="I3" s="105"/>
      <c r="J3" s="106"/>
      <c r="K3" s="17"/>
      <c r="L3" s="17"/>
      <c r="AA3" s="103"/>
    </row>
    <row r="4" spans="2:27" s="108" customFormat="1" ht="13.2">
      <c r="B4" s="21"/>
      <c r="G4" s="109"/>
      <c r="I4" s="110"/>
    </row>
    <row r="5" spans="2:27" s="15" customFormat="1" ht="12.75" customHeight="1">
      <c r="B5" s="1" t="s">
        <v>3</v>
      </c>
      <c r="C5" s="1"/>
      <c r="D5" s="1"/>
      <c r="E5" s="13" t="s">
        <v>208</v>
      </c>
      <c r="F5" s="13"/>
      <c r="G5" s="138" t="s">
        <v>209</v>
      </c>
      <c r="H5" s="139" t="s">
        <v>210</v>
      </c>
      <c r="I5" s="139"/>
      <c r="J5" s="12" t="s">
        <v>211</v>
      </c>
      <c r="K5" s="140" t="s">
        <v>212</v>
      </c>
      <c r="L5" s="12" t="s">
        <v>213</v>
      </c>
    </row>
    <row r="6" spans="2:27" s="15" customFormat="1" ht="15" customHeight="1">
      <c r="B6" s="1"/>
      <c r="C6" s="1"/>
      <c r="D6" s="1"/>
      <c r="E6" s="25" t="s">
        <v>43</v>
      </c>
      <c r="F6" s="27" t="s">
        <v>214</v>
      </c>
      <c r="G6" s="138"/>
      <c r="H6" s="28" t="s">
        <v>43</v>
      </c>
      <c r="I6" s="111" t="s">
        <v>214</v>
      </c>
      <c r="J6" s="12"/>
      <c r="K6" s="140"/>
      <c r="L6" s="12"/>
    </row>
    <row r="7" spans="2:27" s="15" customFormat="1" ht="23.25" customHeight="1">
      <c r="B7" s="29" t="s">
        <v>215</v>
      </c>
      <c r="C7" s="29"/>
      <c r="D7" s="30"/>
      <c r="E7" s="32"/>
      <c r="F7" s="33"/>
      <c r="G7" s="112"/>
      <c r="H7" s="34"/>
      <c r="I7" s="33"/>
      <c r="J7" s="112"/>
      <c r="K7" s="33"/>
      <c r="L7" s="113"/>
    </row>
    <row r="8" spans="2:27" ht="13.2">
      <c r="B8" s="141" t="s">
        <v>216</v>
      </c>
      <c r="C8" s="141"/>
      <c r="D8" s="141"/>
      <c r="E8" s="114" t="s">
        <v>217</v>
      </c>
      <c r="F8" s="115">
        <v>22.69</v>
      </c>
      <c r="G8" s="116">
        <v>1</v>
      </c>
      <c r="H8" s="114" t="s">
        <v>218</v>
      </c>
      <c r="I8" s="117">
        <f t="shared" ref="I8:I26" si="0">F8/G8</f>
        <v>22.69</v>
      </c>
      <c r="J8" s="118">
        <v>2.5</v>
      </c>
      <c r="K8" s="119">
        <f t="shared" ref="K8:K26" si="1">J8*I8</f>
        <v>56.725000000000001</v>
      </c>
      <c r="L8" s="120"/>
    </row>
    <row r="9" spans="2:27" ht="13.2">
      <c r="B9" s="142" t="s">
        <v>219</v>
      </c>
      <c r="C9" s="142"/>
      <c r="D9" s="142"/>
      <c r="E9" s="114" t="s">
        <v>217</v>
      </c>
      <c r="F9" s="115">
        <v>0</v>
      </c>
      <c r="G9" s="116">
        <v>1</v>
      </c>
      <c r="H9" s="121"/>
      <c r="I9" s="117">
        <f t="shared" si="0"/>
        <v>0</v>
      </c>
      <c r="J9" s="118"/>
      <c r="K9" s="119">
        <f t="shared" si="1"/>
        <v>0</v>
      </c>
      <c r="L9" s="120"/>
    </row>
    <row r="10" spans="2:27" ht="13.2">
      <c r="B10" s="142" t="s">
        <v>220</v>
      </c>
      <c r="C10" s="142"/>
      <c r="D10" s="142"/>
      <c r="E10" s="114" t="s">
        <v>217</v>
      </c>
      <c r="F10" s="115">
        <v>0</v>
      </c>
      <c r="G10" s="116">
        <v>1</v>
      </c>
      <c r="H10" s="121"/>
      <c r="I10" s="117">
        <f t="shared" si="0"/>
        <v>0</v>
      </c>
      <c r="J10" s="118"/>
      <c r="K10" s="119">
        <f t="shared" si="1"/>
        <v>0</v>
      </c>
      <c r="L10" s="120"/>
      <c r="M10" s="122"/>
    </row>
    <row r="11" spans="2:27" ht="13.2">
      <c r="B11" s="142" t="s">
        <v>221</v>
      </c>
      <c r="C11" s="142"/>
      <c r="D11" s="142"/>
      <c r="E11" s="114" t="s">
        <v>217</v>
      </c>
      <c r="F11" s="115">
        <v>0</v>
      </c>
      <c r="G11" s="116">
        <v>1</v>
      </c>
      <c r="H11" s="121"/>
      <c r="I11" s="117">
        <f t="shared" si="0"/>
        <v>0</v>
      </c>
      <c r="J11" s="118"/>
      <c r="K11" s="119">
        <f t="shared" si="1"/>
        <v>0</v>
      </c>
      <c r="L11" s="120"/>
      <c r="M11" s="122"/>
    </row>
    <row r="12" spans="2:27" ht="13.2">
      <c r="B12" s="142" t="s">
        <v>222</v>
      </c>
      <c r="C12" s="142"/>
      <c r="D12" s="142"/>
      <c r="E12" s="114" t="s">
        <v>217</v>
      </c>
      <c r="F12" s="115">
        <v>0</v>
      </c>
      <c r="G12" s="116">
        <v>1</v>
      </c>
      <c r="H12" s="121"/>
      <c r="I12" s="117">
        <f t="shared" si="0"/>
        <v>0</v>
      </c>
      <c r="J12" s="118"/>
      <c r="K12" s="119">
        <f t="shared" si="1"/>
        <v>0</v>
      </c>
      <c r="L12" s="120"/>
      <c r="M12" s="122"/>
    </row>
    <row r="13" spans="2:27" ht="13.2">
      <c r="B13" s="142" t="s">
        <v>223</v>
      </c>
      <c r="C13" s="142"/>
      <c r="D13" s="142"/>
      <c r="E13" s="114" t="s">
        <v>217</v>
      </c>
      <c r="F13" s="115">
        <v>0</v>
      </c>
      <c r="G13" s="116">
        <v>1</v>
      </c>
      <c r="H13" s="121"/>
      <c r="I13" s="117">
        <f t="shared" si="0"/>
        <v>0</v>
      </c>
      <c r="J13" s="118"/>
      <c r="K13" s="119">
        <f t="shared" si="1"/>
        <v>0</v>
      </c>
      <c r="L13" s="120"/>
      <c r="M13" s="122"/>
    </row>
    <row r="14" spans="2:27" ht="13.2">
      <c r="B14" s="142" t="s">
        <v>224</v>
      </c>
      <c r="C14" s="142"/>
      <c r="D14" s="142"/>
      <c r="E14" s="114" t="s">
        <v>217</v>
      </c>
      <c r="F14" s="115">
        <v>0</v>
      </c>
      <c r="G14" s="116">
        <v>1</v>
      </c>
      <c r="H14" s="121"/>
      <c r="I14" s="117">
        <f t="shared" si="0"/>
        <v>0</v>
      </c>
      <c r="J14" s="118"/>
      <c r="K14" s="119">
        <f t="shared" si="1"/>
        <v>0</v>
      </c>
      <c r="L14" s="120"/>
      <c r="M14" s="122"/>
    </row>
    <row r="15" spans="2:27" s="15" customFormat="1" ht="13.2">
      <c r="B15" s="142" t="s">
        <v>225</v>
      </c>
      <c r="C15" s="142"/>
      <c r="D15" s="142"/>
      <c r="E15" s="114" t="s">
        <v>217</v>
      </c>
      <c r="F15" s="115">
        <v>0</v>
      </c>
      <c r="G15" s="116">
        <v>1</v>
      </c>
      <c r="H15" s="123"/>
      <c r="I15" s="117">
        <f t="shared" si="0"/>
        <v>0</v>
      </c>
      <c r="J15" s="118"/>
      <c r="K15" s="119">
        <f t="shared" si="1"/>
        <v>0</v>
      </c>
      <c r="L15" s="120"/>
    </row>
    <row r="16" spans="2:27" ht="13.2">
      <c r="B16" s="142" t="s">
        <v>226</v>
      </c>
      <c r="C16" s="142"/>
      <c r="D16" s="142"/>
      <c r="E16" s="114" t="s">
        <v>217</v>
      </c>
      <c r="F16" s="115">
        <v>0</v>
      </c>
      <c r="G16" s="116">
        <v>1</v>
      </c>
      <c r="H16" s="121"/>
      <c r="I16" s="117">
        <f t="shared" si="0"/>
        <v>0</v>
      </c>
      <c r="J16" s="118"/>
      <c r="K16" s="119">
        <f t="shared" si="1"/>
        <v>0</v>
      </c>
      <c r="L16" s="120"/>
    </row>
    <row r="17" spans="2:12" ht="13.2">
      <c r="B17" s="142" t="s">
        <v>227</v>
      </c>
      <c r="C17" s="142"/>
      <c r="D17" s="142"/>
      <c r="E17" s="114" t="s">
        <v>217</v>
      </c>
      <c r="F17" s="115">
        <v>0</v>
      </c>
      <c r="G17" s="116">
        <v>1</v>
      </c>
      <c r="H17" s="121"/>
      <c r="I17" s="117">
        <f t="shared" si="0"/>
        <v>0</v>
      </c>
      <c r="J17" s="118"/>
      <c r="K17" s="119">
        <f t="shared" si="1"/>
        <v>0</v>
      </c>
      <c r="L17" s="120"/>
    </row>
    <row r="18" spans="2:12" ht="13.2">
      <c r="B18" s="142" t="s">
        <v>228</v>
      </c>
      <c r="C18" s="142"/>
      <c r="D18" s="142"/>
      <c r="E18" s="114" t="s">
        <v>217</v>
      </c>
      <c r="F18" s="115">
        <v>0</v>
      </c>
      <c r="G18" s="116">
        <v>1</v>
      </c>
      <c r="H18" s="121"/>
      <c r="I18" s="117">
        <f t="shared" si="0"/>
        <v>0</v>
      </c>
      <c r="J18" s="118"/>
      <c r="K18" s="119">
        <f t="shared" si="1"/>
        <v>0</v>
      </c>
      <c r="L18" s="120"/>
    </row>
    <row r="19" spans="2:12" ht="13.2">
      <c r="B19" s="142" t="s">
        <v>229</v>
      </c>
      <c r="C19" s="142"/>
      <c r="D19" s="142"/>
      <c r="E19" s="114" t="s">
        <v>217</v>
      </c>
      <c r="F19" s="115">
        <v>0</v>
      </c>
      <c r="G19" s="116">
        <v>1</v>
      </c>
      <c r="H19" s="121"/>
      <c r="I19" s="117">
        <f t="shared" si="0"/>
        <v>0</v>
      </c>
      <c r="J19" s="118"/>
      <c r="K19" s="119">
        <f t="shared" si="1"/>
        <v>0</v>
      </c>
      <c r="L19" s="120"/>
    </row>
    <row r="20" spans="2:12" ht="13.2">
      <c r="B20" s="142" t="s">
        <v>230</v>
      </c>
      <c r="C20" s="142"/>
      <c r="D20" s="142"/>
      <c r="E20" s="114" t="s">
        <v>217</v>
      </c>
      <c r="F20" s="115">
        <v>0</v>
      </c>
      <c r="G20" s="116">
        <v>1</v>
      </c>
      <c r="H20" s="114"/>
      <c r="I20" s="117">
        <f t="shared" si="0"/>
        <v>0</v>
      </c>
      <c r="J20" s="118"/>
      <c r="K20" s="119">
        <f t="shared" si="1"/>
        <v>0</v>
      </c>
      <c r="L20" s="120"/>
    </row>
    <row r="21" spans="2:12" ht="13.2">
      <c r="B21" s="142" t="s">
        <v>231</v>
      </c>
      <c r="C21" s="142"/>
      <c r="D21" s="142"/>
      <c r="E21" s="114" t="s">
        <v>217</v>
      </c>
      <c r="F21" s="115">
        <v>0</v>
      </c>
      <c r="G21" s="116">
        <v>1</v>
      </c>
      <c r="H21" s="121"/>
      <c r="I21" s="117">
        <f t="shared" si="0"/>
        <v>0</v>
      </c>
      <c r="J21" s="118"/>
      <c r="K21" s="119">
        <f t="shared" si="1"/>
        <v>0</v>
      </c>
      <c r="L21" s="120"/>
    </row>
    <row r="22" spans="2:12" ht="13.2">
      <c r="B22" s="142"/>
      <c r="C22" s="142"/>
      <c r="D22" s="142"/>
      <c r="E22" s="114"/>
      <c r="F22" s="115">
        <v>0</v>
      </c>
      <c r="G22" s="116">
        <v>1</v>
      </c>
      <c r="H22" s="121"/>
      <c r="I22" s="117">
        <f t="shared" si="0"/>
        <v>0</v>
      </c>
      <c r="J22" s="118"/>
      <c r="K22" s="119">
        <f t="shared" si="1"/>
        <v>0</v>
      </c>
      <c r="L22" s="120"/>
    </row>
    <row r="23" spans="2:12" ht="13.2">
      <c r="B23" s="143"/>
      <c r="C23" s="143"/>
      <c r="D23" s="143"/>
      <c r="E23" s="114"/>
      <c r="F23" s="115">
        <v>0</v>
      </c>
      <c r="G23" s="116">
        <v>1</v>
      </c>
      <c r="H23" s="121"/>
      <c r="I23" s="117">
        <f t="shared" si="0"/>
        <v>0</v>
      </c>
      <c r="J23" s="118"/>
      <c r="K23" s="119">
        <f t="shared" si="1"/>
        <v>0</v>
      </c>
      <c r="L23" s="120"/>
    </row>
    <row r="24" spans="2:12" ht="13.2">
      <c r="B24" s="143"/>
      <c r="C24" s="143"/>
      <c r="D24" s="143"/>
      <c r="E24" s="114"/>
      <c r="F24" s="115">
        <v>0</v>
      </c>
      <c r="G24" s="116">
        <v>1</v>
      </c>
      <c r="H24" s="121"/>
      <c r="I24" s="117">
        <f t="shared" si="0"/>
        <v>0</v>
      </c>
      <c r="J24" s="118"/>
      <c r="K24" s="119">
        <f t="shared" si="1"/>
        <v>0</v>
      </c>
      <c r="L24" s="120"/>
    </row>
    <row r="25" spans="2:12" ht="13.2">
      <c r="B25" s="143"/>
      <c r="C25" s="143"/>
      <c r="D25" s="143"/>
      <c r="E25" s="114"/>
      <c r="F25" s="115">
        <v>0</v>
      </c>
      <c r="G25" s="116">
        <v>1</v>
      </c>
      <c r="H25" s="121"/>
      <c r="I25" s="117">
        <f t="shared" si="0"/>
        <v>0</v>
      </c>
      <c r="J25" s="118"/>
      <c r="K25" s="119">
        <f t="shared" si="1"/>
        <v>0</v>
      </c>
      <c r="L25" s="120"/>
    </row>
    <row r="26" spans="2:12" ht="13.2">
      <c r="B26" s="144"/>
      <c r="C26" s="144"/>
      <c r="D26" s="144"/>
      <c r="E26" s="114"/>
      <c r="F26" s="115">
        <v>0</v>
      </c>
      <c r="G26" s="116">
        <v>1</v>
      </c>
      <c r="H26" s="121"/>
      <c r="I26" s="117">
        <f t="shared" si="0"/>
        <v>0</v>
      </c>
      <c r="J26" s="118"/>
      <c r="K26" s="119">
        <f t="shared" si="1"/>
        <v>0</v>
      </c>
      <c r="L26" s="124">
        <f>SUM(K5:K26)</f>
        <v>56.725000000000001</v>
      </c>
    </row>
    <row r="27" spans="2:12" ht="15" customHeight="1">
      <c r="B27" s="11" t="s">
        <v>232</v>
      </c>
      <c r="C27" s="11"/>
      <c r="D27" s="11"/>
      <c r="E27" s="13" t="s">
        <v>208</v>
      </c>
      <c r="F27" s="13"/>
      <c r="G27" s="138" t="s">
        <v>209</v>
      </c>
      <c r="H27" s="139" t="s">
        <v>210</v>
      </c>
      <c r="I27" s="139"/>
      <c r="J27" s="145" t="s">
        <v>211</v>
      </c>
      <c r="K27" s="146" t="s">
        <v>212</v>
      </c>
      <c r="L27" s="147" t="s">
        <v>213</v>
      </c>
    </row>
    <row r="28" spans="2:12" ht="15" customHeight="1">
      <c r="B28" s="11"/>
      <c r="C28" s="11"/>
      <c r="D28" s="11"/>
      <c r="E28" s="125" t="s">
        <v>43</v>
      </c>
      <c r="F28" s="126" t="s">
        <v>214</v>
      </c>
      <c r="G28" s="138"/>
      <c r="H28" s="127" t="s">
        <v>43</v>
      </c>
      <c r="I28" s="128" t="s">
        <v>214</v>
      </c>
      <c r="J28" s="145"/>
      <c r="K28" s="146"/>
      <c r="L28" s="147"/>
    </row>
    <row r="29" spans="2:12" ht="13.2">
      <c r="B29" s="148" t="s">
        <v>233</v>
      </c>
      <c r="C29" s="148"/>
      <c r="D29" s="148"/>
      <c r="E29" s="114" t="s">
        <v>217</v>
      </c>
      <c r="F29" s="115">
        <v>8.99</v>
      </c>
      <c r="G29" s="129">
        <v>12</v>
      </c>
      <c r="H29" s="121" t="s">
        <v>218</v>
      </c>
      <c r="I29" s="117">
        <f t="shared" ref="I29:I42" si="2">F29/G29</f>
        <v>0.74916666666666665</v>
      </c>
      <c r="J29" s="118">
        <v>22</v>
      </c>
      <c r="K29" s="119">
        <f t="shared" ref="K29:K42" si="3">J29*I29</f>
        <v>16.481666666666666</v>
      </c>
      <c r="L29" s="120"/>
    </row>
    <row r="30" spans="2:12" ht="13.2">
      <c r="B30" s="143" t="s">
        <v>234</v>
      </c>
      <c r="C30" s="143"/>
      <c r="D30" s="143"/>
      <c r="E30" s="114" t="s">
        <v>217</v>
      </c>
      <c r="F30" s="115">
        <v>24.99</v>
      </c>
      <c r="G30" s="129">
        <v>24</v>
      </c>
      <c r="H30" s="121" t="s">
        <v>218</v>
      </c>
      <c r="I30" s="117">
        <f t="shared" si="2"/>
        <v>1.04125</v>
      </c>
      <c r="J30" s="118">
        <v>33</v>
      </c>
      <c r="K30" s="119">
        <f t="shared" si="3"/>
        <v>34.361249999999998</v>
      </c>
      <c r="L30" s="120"/>
    </row>
    <row r="31" spans="2:12" ht="13.2">
      <c r="B31" s="143" t="s">
        <v>235</v>
      </c>
      <c r="C31" s="143"/>
      <c r="D31" s="143"/>
      <c r="E31" s="114" t="s">
        <v>217</v>
      </c>
      <c r="F31" s="115">
        <v>0</v>
      </c>
      <c r="G31" s="129">
        <v>1</v>
      </c>
      <c r="H31" s="121"/>
      <c r="I31" s="117">
        <f t="shared" si="2"/>
        <v>0</v>
      </c>
      <c r="J31" s="118"/>
      <c r="K31" s="119">
        <f t="shared" si="3"/>
        <v>0</v>
      </c>
      <c r="L31" s="120"/>
    </row>
    <row r="32" spans="2:12" ht="13.2">
      <c r="B32" s="142" t="s">
        <v>236</v>
      </c>
      <c r="C32" s="142"/>
      <c r="D32" s="142"/>
      <c r="E32" s="114" t="s">
        <v>217</v>
      </c>
      <c r="F32" s="115">
        <v>0</v>
      </c>
      <c r="G32" s="129">
        <v>1</v>
      </c>
      <c r="H32" s="121"/>
      <c r="I32" s="117">
        <f t="shared" si="2"/>
        <v>0</v>
      </c>
      <c r="J32" s="118"/>
      <c r="K32" s="119">
        <f t="shared" si="3"/>
        <v>0</v>
      </c>
      <c r="L32" s="120"/>
    </row>
    <row r="33" spans="2:12" ht="13.2">
      <c r="B33" s="142" t="s">
        <v>237</v>
      </c>
      <c r="C33" s="142"/>
      <c r="D33" s="142"/>
      <c r="E33" s="114" t="s">
        <v>217</v>
      </c>
      <c r="F33" s="115">
        <v>0</v>
      </c>
      <c r="G33" s="129">
        <v>1</v>
      </c>
      <c r="H33" s="121"/>
      <c r="I33" s="117">
        <f t="shared" si="2"/>
        <v>0</v>
      </c>
      <c r="J33" s="118"/>
      <c r="K33" s="119">
        <f t="shared" si="3"/>
        <v>0</v>
      </c>
      <c r="L33" s="120"/>
    </row>
    <row r="34" spans="2:12" ht="13.2">
      <c r="B34" s="142" t="s">
        <v>238</v>
      </c>
      <c r="C34" s="142"/>
      <c r="D34" s="142"/>
      <c r="E34" s="114" t="s">
        <v>217</v>
      </c>
      <c r="F34" s="115">
        <v>0</v>
      </c>
      <c r="G34" s="129">
        <v>1</v>
      </c>
      <c r="H34" s="121"/>
      <c r="I34" s="117">
        <f t="shared" si="2"/>
        <v>0</v>
      </c>
      <c r="J34" s="118"/>
      <c r="K34" s="119">
        <f t="shared" si="3"/>
        <v>0</v>
      </c>
      <c r="L34" s="120"/>
    </row>
    <row r="35" spans="2:12" ht="13.2">
      <c r="B35" s="142" t="s">
        <v>239</v>
      </c>
      <c r="C35" s="142"/>
      <c r="D35" s="142"/>
      <c r="E35" s="114" t="s">
        <v>217</v>
      </c>
      <c r="F35" s="115">
        <v>0</v>
      </c>
      <c r="G35" s="129">
        <v>1</v>
      </c>
      <c r="H35" s="121"/>
      <c r="I35" s="117">
        <f t="shared" si="2"/>
        <v>0</v>
      </c>
      <c r="J35" s="118"/>
      <c r="K35" s="119">
        <f t="shared" si="3"/>
        <v>0</v>
      </c>
      <c r="L35" s="120"/>
    </row>
    <row r="36" spans="2:12" ht="13.2">
      <c r="B36" s="142" t="s">
        <v>240</v>
      </c>
      <c r="C36" s="142"/>
      <c r="D36" s="142"/>
      <c r="E36" s="114" t="s">
        <v>217</v>
      </c>
      <c r="F36" s="115">
        <v>0</v>
      </c>
      <c r="G36" s="129">
        <v>1</v>
      </c>
      <c r="H36" s="121"/>
      <c r="I36" s="117">
        <f t="shared" si="2"/>
        <v>0</v>
      </c>
      <c r="J36" s="118"/>
      <c r="K36" s="119">
        <f t="shared" si="3"/>
        <v>0</v>
      </c>
      <c r="L36" s="120"/>
    </row>
    <row r="37" spans="2:12" ht="13.2">
      <c r="B37" s="142" t="s">
        <v>241</v>
      </c>
      <c r="C37" s="142"/>
      <c r="D37" s="142"/>
      <c r="E37" s="114" t="s">
        <v>217</v>
      </c>
      <c r="F37" s="115">
        <v>0</v>
      </c>
      <c r="G37" s="129">
        <v>1</v>
      </c>
      <c r="H37" s="121"/>
      <c r="I37" s="117">
        <f t="shared" si="2"/>
        <v>0</v>
      </c>
      <c r="J37" s="118"/>
      <c r="K37" s="119">
        <f t="shared" si="3"/>
        <v>0</v>
      </c>
      <c r="L37" s="120"/>
    </row>
    <row r="38" spans="2:12" ht="13.2">
      <c r="B38" s="142" t="s">
        <v>242</v>
      </c>
      <c r="C38" s="142"/>
      <c r="D38" s="142"/>
      <c r="E38" s="114" t="s">
        <v>217</v>
      </c>
      <c r="F38" s="115">
        <v>0</v>
      </c>
      <c r="G38" s="129">
        <v>1</v>
      </c>
      <c r="H38" s="121"/>
      <c r="I38" s="117">
        <f t="shared" si="2"/>
        <v>0</v>
      </c>
      <c r="J38" s="118"/>
      <c r="K38" s="119">
        <f t="shared" si="3"/>
        <v>0</v>
      </c>
      <c r="L38" s="120"/>
    </row>
    <row r="39" spans="2:12" ht="13.2">
      <c r="B39" s="142" t="s">
        <v>243</v>
      </c>
      <c r="C39" s="142"/>
      <c r="D39" s="142"/>
      <c r="E39" s="114" t="s">
        <v>217</v>
      </c>
      <c r="F39" s="115">
        <v>0</v>
      </c>
      <c r="G39" s="129">
        <v>1</v>
      </c>
      <c r="H39" s="121"/>
      <c r="I39" s="117">
        <f t="shared" si="2"/>
        <v>0</v>
      </c>
      <c r="J39" s="118"/>
      <c r="K39" s="119">
        <f t="shared" si="3"/>
        <v>0</v>
      </c>
      <c r="L39" s="120"/>
    </row>
    <row r="40" spans="2:12" ht="13.2">
      <c r="B40" s="143"/>
      <c r="C40" s="143"/>
      <c r="D40" s="143"/>
      <c r="E40" s="114"/>
      <c r="F40" s="115">
        <v>0</v>
      </c>
      <c r="G40" s="129">
        <v>1</v>
      </c>
      <c r="H40" s="121"/>
      <c r="I40" s="117">
        <f t="shared" si="2"/>
        <v>0</v>
      </c>
      <c r="J40" s="118"/>
      <c r="K40" s="119">
        <f t="shared" si="3"/>
        <v>0</v>
      </c>
      <c r="L40" s="120"/>
    </row>
    <row r="41" spans="2:12" ht="13.2">
      <c r="B41" s="143"/>
      <c r="C41" s="143"/>
      <c r="D41" s="143"/>
      <c r="E41" s="114"/>
      <c r="F41" s="115">
        <v>0</v>
      </c>
      <c r="G41" s="129">
        <v>1</v>
      </c>
      <c r="H41" s="121"/>
      <c r="I41" s="117">
        <f t="shared" si="2"/>
        <v>0</v>
      </c>
      <c r="J41" s="118"/>
      <c r="K41" s="119">
        <f t="shared" si="3"/>
        <v>0</v>
      </c>
      <c r="L41" s="120"/>
    </row>
    <row r="42" spans="2:12" ht="13.2">
      <c r="B42" s="149"/>
      <c r="C42" s="149"/>
      <c r="D42" s="149"/>
      <c r="E42" s="114"/>
      <c r="F42" s="115">
        <v>0</v>
      </c>
      <c r="G42" s="129">
        <v>1</v>
      </c>
      <c r="H42" s="121"/>
      <c r="I42" s="117">
        <f t="shared" si="2"/>
        <v>0</v>
      </c>
      <c r="J42" s="118"/>
      <c r="K42" s="130">
        <f t="shared" si="3"/>
        <v>0</v>
      </c>
      <c r="L42" s="124">
        <f>SUM(K29:K42)</f>
        <v>50.842916666666667</v>
      </c>
    </row>
    <row r="43" spans="2:12" ht="15" customHeight="1">
      <c r="B43" s="11" t="s">
        <v>244</v>
      </c>
      <c r="C43" s="11"/>
      <c r="D43" s="11"/>
      <c r="E43" s="13" t="s">
        <v>208</v>
      </c>
      <c r="F43" s="13"/>
      <c r="G43" s="138" t="s">
        <v>209</v>
      </c>
      <c r="H43" s="139" t="s">
        <v>210</v>
      </c>
      <c r="I43" s="139"/>
      <c r="J43" s="145" t="s">
        <v>211</v>
      </c>
      <c r="K43" s="146" t="s">
        <v>212</v>
      </c>
      <c r="L43" s="147" t="s">
        <v>213</v>
      </c>
    </row>
    <row r="44" spans="2:12" ht="15" customHeight="1">
      <c r="B44" s="11"/>
      <c r="C44" s="11"/>
      <c r="D44" s="11"/>
      <c r="E44" s="125" t="s">
        <v>43</v>
      </c>
      <c r="F44" s="126" t="s">
        <v>214</v>
      </c>
      <c r="G44" s="138"/>
      <c r="H44" s="127" t="s">
        <v>43</v>
      </c>
      <c r="I44" s="128" t="s">
        <v>214</v>
      </c>
      <c r="J44" s="145"/>
      <c r="K44" s="146"/>
      <c r="L44" s="147"/>
    </row>
    <row r="45" spans="2:12" ht="13.2">
      <c r="B45" s="148" t="s">
        <v>235</v>
      </c>
      <c r="C45" s="148"/>
      <c r="D45" s="148"/>
      <c r="E45" s="114" t="s">
        <v>245</v>
      </c>
      <c r="F45" s="115">
        <v>75</v>
      </c>
      <c r="G45" s="129">
        <v>1</v>
      </c>
      <c r="H45" s="121" t="s">
        <v>246</v>
      </c>
      <c r="I45" s="117">
        <f>F45/G45</f>
        <v>75</v>
      </c>
      <c r="J45" s="118">
        <v>3</v>
      </c>
      <c r="K45" s="119">
        <f>J45*I45</f>
        <v>225</v>
      </c>
      <c r="L45" s="120"/>
    </row>
    <row r="46" spans="2:12" ht="13.2">
      <c r="B46" s="143" t="s">
        <v>247</v>
      </c>
      <c r="C46" s="143"/>
      <c r="D46" s="143"/>
      <c r="E46" s="114" t="s">
        <v>245</v>
      </c>
      <c r="F46" s="115">
        <v>75</v>
      </c>
      <c r="G46" s="129">
        <v>1</v>
      </c>
      <c r="H46" s="121" t="s">
        <v>246</v>
      </c>
      <c r="I46" s="117">
        <f>F46/G46</f>
        <v>75</v>
      </c>
      <c r="J46" s="118">
        <v>3</v>
      </c>
      <c r="K46" s="119">
        <f>J46*I46</f>
        <v>225</v>
      </c>
      <c r="L46" s="120"/>
    </row>
    <row r="47" spans="2:12" ht="13.2">
      <c r="B47" s="149"/>
      <c r="C47" s="149"/>
      <c r="D47" s="149"/>
      <c r="E47" s="114"/>
      <c r="F47" s="115">
        <v>0</v>
      </c>
      <c r="G47" s="129">
        <v>1</v>
      </c>
      <c r="H47" s="121"/>
      <c r="I47" s="117">
        <f>F47/G47</f>
        <v>0</v>
      </c>
      <c r="J47" s="118"/>
      <c r="K47" s="119">
        <f>J47*I47</f>
        <v>0</v>
      </c>
      <c r="L47" s="120"/>
    </row>
    <row r="48" spans="2:12" ht="13.2">
      <c r="B48" s="149"/>
      <c r="C48" s="149"/>
      <c r="D48" s="149"/>
      <c r="E48" s="114"/>
      <c r="F48" s="115">
        <v>0</v>
      </c>
      <c r="G48" s="129">
        <v>1</v>
      </c>
      <c r="H48" s="121"/>
      <c r="I48" s="117">
        <f>F48/G48</f>
        <v>0</v>
      </c>
      <c r="J48" s="118"/>
      <c r="K48" s="130">
        <f>J48*I48</f>
        <v>0</v>
      </c>
      <c r="L48" s="124">
        <f>SUM(K45:K48)</f>
        <v>450</v>
      </c>
    </row>
    <row r="49" spans="2:12" ht="14.25" customHeight="1">
      <c r="B49" s="11" t="s">
        <v>248</v>
      </c>
      <c r="C49" s="11"/>
      <c r="D49" s="11"/>
      <c r="E49" s="13" t="s">
        <v>208</v>
      </c>
      <c r="F49" s="13"/>
      <c r="G49" s="138" t="s">
        <v>209</v>
      </c>
      <c r="H49" s="139" t="s">
        <v>210</v>
      </c>
      <c r="I49" s="139"/>
      <c r="J49" s="145" t="s">
        <v>211</v>
      </c>
      <c r="K49" s="146" t="s">
        <v>212</v>
      </c>
      <c r="L49" s="147" t="s">
        <v>213</v>
      </c>
    </row>
    <row r="50" spans="2:12" ht="15" customHeight="1">
      <c r="B50" s="11"/>
      <c r="C50" s="11"/>
      <c r="D50" s="11"/>
      <c r="E50" s="125" t="s">
        <v>43</v>
      </c>
      <c r="F50" s="126" t="s">
        <v>214</v>
      </c>
      <c r="G50" s="138"/>
      <c r="H50" s="127" t="s">
        <v>43</v>
      </c>
      <c r="I50" s="128" t="s">
        <v>214</v>
      </c>
      <c r="J50" s="145"/>
      <c r="K50" s="146"/>
      <c r="L50" s="147"/>
    </row>
    <row r="51" spans="2:12" ht="13.2">
      <c r="B51" s="148" t="s">
        <v>249</v>
      </c>
      <c r="C51" s="148"/>
      <c r="D51" s="148"/>
      <c r="E51" s="114" t="s">
        <v>217</v>
      </c>
      <c r="F51" s="115">
        <v>48</v>
      </c>
      <c r="G51" s="129">
        <v>12</v>
      </c>
      <c r="H51" s="121" t="s">
        <v>218</v>
      </c>
      <c r="I51" s="117">
        <f t="shared" ref="I51:I56" si="4">F51/G51</f>
        <v>4</v>
      </c>
      <c r="J51" s="118">
        <v>1</v>
      </c>
      <c r="K51" s="119">
        <f t="shared" ref="K51:K56" si="5">J51*I51</f>
        <v>4</v>
      </c>
      <c r="L51" s="120"/>
    </row>
    <row r="52" spans="2:12" ht="13.2">
      <c r="B52" s="143" t="s">
        <v>250</v>
      </c>
      <c r="C52" s="143"/>
      <c r="D52" s="143"/>
      <c r="E52" s="114" t="s">
        <v>217</v>
      </c>
      <c r="F52" s="115">
        <v>0</v>
      </c>
      <c r="G52" s="129">
        <v>1</v>
      </c>
      <c r="H52" s="121"/>
      <c r="I52" s="117">
        <f t="shared" si="4"/>
        <v>0</v>
      </c>
      <c r="J52" s="118"/>
      <c r="K52" s="119">
        <f t="shared" si="5"/>
        <v>0</v>
      </c>
      <c r="L52" s="120"/>
    </row>
    <row r="53" spans="2:12" ht="13.2">
      <c r="B53" s="143" t="s">
        <v>251</v>
      </c>
      <c r="C53" s="143"/>
      <c r="D53" s="143"/>
      <c r="E53" s="114" t="s">
        <v>217</v>
      </c>
      <c r="F53" s="115">
        <v>0</v>
      </c>
      <c r="G53" s="129">
        <v>1</v>
      </c>
      <c r="H53" s="121"/>
      <c r="I53" s="117">
        <f t="shared" si="4"/>
        <v>0</v>
      </c>
      <c r="J53" s="118"/>
      <c r="K53" s="119">
        <f t="shared" si="5"/>
        <v>0</v>
      </c>
      <c r="L53" s="120"/>
    </row>
    <row r="54" spans="2:12" ht="13.2">
      <c r="B54" s="143" t="s">
        <v>252</v>
      </c>
      <c r="C54" s="143"/>
      <c r="D54" s="143"/>
      <c r="E54" s="114" t="s">
        <v>217</v>
      </c>
      <c r="F54" s="115">
        <v>0</v>
      </c>
      <c r="G54" s="129">
        <v>1</v>
      </c>
      <c r="H54" s="121"/>
      <c r="I54" s="117">
        <f t="shared" si="4"/>
        <v>0</v>
      </c>
      <c r="J54" s="118"/>
      <c r="K54" s="119">
        <f t="shared" si="5"/>
        <v>0</v>
      </c>
      <c r="L54" s="120"/>
    </row>
    <row r="55" spans="2:12" ht="13.2">
      <c r="B55" s="143"/>
      <c r="C55" s="143"/>
      <c r="D55" s="143"/>
      <c r="E55" s="114"/>
      <c r="F55" s="115">
        <v>0</v>
      </c>
      <c r="G55" s="129">
        <v>1</v>
      </c>
      <c r="H55" s="121"/>
      <c r="I55" s="117">
        <f t="shared" si="4"/>
        <v>0</v>
      </c>
      <c r="J55" s="118"/>
      <c r="K55" s="119">
        <f t="shared" si="5"/>
        <v>0</v>
      </c>
      <c r="L55" s="120"/>
    </row>
    <row r="56" spans="2:12" ht="13.2">
      <c r="B56" s="143"/>
      <c r="C56" s="143"/>
      <c r="D56" s="143"/>
      <c r="E56" s="114"/>
      <c r="F56" s="115">
        <v>0</v>
      </c>
      <c r="G56" s="129">
        <v>1</v>
      </c>
      <c r="H56" s="121"/>
      <c r="I56" s="117">
        <f t="shared" si="4"/>
        <v>0</v>
      </c>
      <c r="J56" s="118"/>
      <c r="K56" s="119">
        <f t="shared" si="5"/>
        <v>0</v>
      </c>
      <c r="L56" s="124">
        <f>SUM(K51:K56)</f>
        <v>4</v>
      </c>
    </row>
    <row r="57" spans="2:12" ht="14.25" customHeight="1">
      <c r="B57" s="11" t="s">
        <v>253</v>
      </c>
      <c r="C57" s="11"/>
      <c r="D57" s="11"/>
      <c r="E57" s="13" t="s">
        <v>208</v>
      </c>
      <c r="F57" s="13"/>
      <c r="G57" s="138" t="s">
        <v>209</v>
      </c>
      <c r="H57" s="139" t="s">
        <v>210</v>
      </c>
      <c r="I57" s="139"/>
      <c r="J57" s="145" t="s">
        <v>211</v>
      </c>
      <c r="K57" s="146" t="s">
        <v>212</v>
      </c>
      <c r="L57" s="147" t="s">
        <v>213</v>
      </c>
    </row>
    <row r="58" spans="2:12" ht="15" customHeight="1">
      <c r="B58" s="11"/>
      <c r="C58" s="11"/>
      <c r="D58" s="11"/>
      <c r="E58" s="125" t="s">
        <v>43</v>
      </c>
      <c r="F58" s="126" t="s">
        <v>214</v>
      </c>
      <c r="G58" s="138"/>
      <c r="H58" s="127" t="s">
        <v>43</v>
      </c>
      <c r="I58" s="128" t="s">
        <v>214</v>
      </c>
      <c r="J58" s="145"/>
      <c r="K58" s="146"/>
      <c r="L58" s="147"/>
    </row>
    <row r="59" spans="2:12" ht="13.2">
      <c r="B59" s="141" t="s">
        <v>192</v>
      </c>
      <c r="C59" s="141"/>
      <c r="D59" s="141"/>
      <c r="E59" s="114" t="s">
        <v>217</v>
      </c>
      <c r="F59" s="115">
        <v>18</v>
      </c>
      <c r="G59" s="129">
        <v>12</v>
      </c>
      <c r="H59" s="121" t="s">
        <v>218</v>
      </c>
      <c r="I59" s="117">
        <f>F59/G59</f>
        <v>1.5</v>
      </c>
      <c r="J59" s="118">
        <v>1</v>
      </c>
      <c r="K59" s="119">
        <f>J59*I59</f>
        <v>1.5</v>
      </c>
      <c r="L59" s="120"/>
    </row>
    <row r="60" spans="2:12" ht="13.2">
      <c r="B60" s="142" t="s">
        <v>254</v>
      </c>
      <c r="C60" s="142"/>
      <c r="D60" s="142"/>
      <c r="E60" s="114"/>
      <c r="F60" s="115"/>
      <c r="G60" s="129"/>
      <c r="H60" s="121"/>
      <c r="I60" s="117"/>
      <c r="J60" s="118"/>
      <c r="K60" s="119"/>
      <c r="L60" s="120"/>
    </row>
    <row r="61" spans="2:12" ht="13.2">
      <c r="B61" s="131" t="s">
        <v>255</v>
      </c>
      <c r="C61" s="132"/>
      <c r="D61" s="133"/>
      <c r="E61" s="114"/>
      <c r="F61" s="115"/>
      <c r="G61" s="129"/>
      <c r="H61" s="121"/>
      <c r="I61" s="117"/>
      <c r="J61" s="118"/>
      <c r="K61" s="119"/>
      <c r="L61" s="120"/>
    </row>
    <row r="62" spans="2:12" ht="13.2">
      <c r="B62" s="150" t="s">
        <v>256</v>
      </c>
      <c r="C62" s="150"/>
      <c r="D62" s="150"/>
      <c r="E62" s="114" t="s">
        <v>217</v>
      </c>
      <c r="F62" s="115">
        <v>0</v>
      </c>
      <c r="G62" s="129">
        <v>1</v>
      </c>
      <c r="H62" s="121"/>
      <c r="I62" s="117">
        <f>F62/G62</f>
        <v>0</v>
      </c>
      <c r="J62" s="118"/>
      <c r="K62" s="119">
        <f>J62*I62</f>
        <v>0</v>
      </c>
      <c r="L62" s="120"/>
    </row>
    <row r="63" spans="2:12" ht="13.2">
      <c r="B63" s="131" t="s">
        <v>257</v>
      </c>
      <c r="C63" s="132"/>
      <c r="D63" s="133"/>
      <c r="E63" s="114" t="s">
        <v>217</v>
      </c>
      <c r="F63" s="115"/>
      <c r="G63" s="129"/>
      <c r="H63" s="121"/>
      <c r="I63" s="117"/>
      <c r="J63" s="118"/>
      <c r="K63" s="119"/>
      <c r="L63" s="120"/>
    </row>
    <row r="64" spans="2:12" ht="13.2">
      <c r="B64" s="131" t="s">
        <v>258</v>
      </c>
      <c r="C64" s="132"/>
      <c r="D64" s="133"/>
      <c r="E64" s="114" t="s">
        <v>217</v>
      </c>
      <c r="F64" s="115"/>
      <c r="G64" s="129"/>
      <c r="H64" s="121"/>
      <c r="I64" s="117"/>
      <c r="J64" s="118"/>
      <c r="K64" s="119"/>
      <c r="L64" s="120"/>
    </row>
    <row r="65" spans="2:12" ht="13.2">
      <c r="B65" s="131" t="s">
        <v>259</v>
      </c>
      <c r="C65" s="132"/>
      <c r="D65" s="133"/>
      <c r="E65" s="114" t="s">
        <v>217</v>
      </c>
      <c r="F65" s="115"/>
      <c r="G65" s="129"/>
      <c r="H65" s="121"/>
      <c r="I65" s="117"/>
      <c r="J65" s="118"/>
      <c r="K65" s="119"/>
      <c r="L65" s="120"/>
    </row>
    <row r="66" spans="2:12" ht="13.2">
      <c r="B66" s="131" t="s">
        <v>260</v>
      </c>
      <c r="C66" s="132"/>
      <c r="D66" s="133"/>
      <c r="E66" s="114" t="s">
        <v>217</v>
      </c>
      <c r="F66" s="115"/>
      <c r="G66" s="129"/>
      <c r="H66" s="121"/>
      <c r="I66" s="117"/>
      <c r="J66" s="118"/>
      <c r="K66" s="119"/>
      <c r="L66" s="120"/>
    </row>
    <row r="67" spans="2:12" ht="13.2">
      <c r="B67" s="131" t="s">
        <v>261</v>
      </c>
      <c r="C67" s="132"/>
      <c r="D67" s="133"/>
      <c r="E67" s="114" t="s">
        <v>217</v>
      </c>
      <c r="F67" s="115"/>
      <c r="G67" s="129"/>
      <c r="H67" s="121"/>
      <c r="I67" s="117"/>
      <c r="J67" s="118"/>
      <c r="K67" s="119"/>
      <c r="L67" s="120"/>
    </row>
    <row r="68" spans="2:12" ht="13.2">
      <c r="B68" s="131" t="s">
        <v>262</v>
      </c>
      <c r="C68" s="132"/>
      <c r="D68" s="133"/>
      <c r="E68" s="114" t="s">
        <v>217</v>
      </c>
      <c r="F68" s="115"/>
      <c r="G68" s="129"/>
      <c r="H68" s="121"/>
      <c r="I68" s="117"/>
      <c r="J68" s="118"/>
      <c r="K68" s="119"/>
      <c r="L68" s="120"/>
    </row>
    <row r="69" spans="2:12" ht="13.2">
      <c r="B69" s="131" t="s">
        <v>263</v>
      </c>
      <c r="C69" s="132"/>
      <c r="D69" s="133"/>
      <c r="E69" s="114" t="s">
        <v>217</v>
      </c>
      <c r="F69" s="115"/>
      <c r="G69" s="129"/>
      <c r="H69" s="121"/>
      <c r="I69" s="117"/>
      <c r="J69" s="118"/>
      <c r="K69" s="119"/>
      <c r="L69" s="120"/>
    </row>
    <row r="70" spans="2:12" ht="13.2">
      <c r="B70" s="131" t="s">
        <v>264</v>
      </c>
      <c r="C70" s="132"/>
      <c r="D70" s="133"/>
      <c r="E70" s="114" t="s">
        <v>217</v>
      </c>
      <c r="F70" s="115"/>
      <c r="G70" s="129"/>
      <c r="H70" s="121"/>
      <c r="I70" s="117"/>
      <c r="J70" s="118"/>
      <c r="K70" s="119"/>
      <c r="L70" s="120"/>
    </row>
    <row r="71" spans="2:12" ht="13.2">
      <c r="B71" s="131" t="s">
        <v>265</v>
      </c>
      <c r="C71" s="132"/>
      <c r="D71" s="133"/>
      <c r="E71" s="114" t="s">
        <v>217</v>
      </c>
      <c r="F71" s="115"/>
      <c r="G71" s="129"/>
      <c r="H71" s="121"/>
      <c r="I71" s="117"/>
      <c r="J71" s="118"/>
      <c r="K71" s="119"/>
      <c r="L71" s="120"/>
    </row>
    <row r="72" spans="2:12" ht="13.2">
      <c r="B72" s="150" t="s">
        <v>266</v>
      </c>
      <c r="C72" s="150"/>
      <c r="D72" s="150"/>
      <c r="E72" s="114" t="s">
        <v>217</v>
      </c>
      <c r="F72" s="115">
        <v>0</v>
      </c>
      <c r="G72" s="129">
        <v>1</v>
      </c>
      <c r="H72" s="121"/>
      <c r="I72" s="117">
        <f t="shared" ref="I72:I78" si="6">F72/G72</f>
        <v>0</v>
      </c>
      <c r="J72" s="118"/>
      <c r="K72" s="119">
        <f t="shared" ref="K72:K78" si="7">J72*I72</f>
        <v>0</v>
      </c>
      <c r="L72" s="120"/>
    </row>
    <row r="73" spans="2:12" ht="13.2">
      <c r="B73" s="150" t="s">
        <v>267</v>
      </c>
      <c r="C73" s="150"/>
      <c r="D73" s="150"/>
      <c r="E73" s="114" t="s">
        <v>217</v>
      </c>
      <c r="F73" s="115">
        <v>0</v>
      </c>
      <c r="G73" s="129">
        <v>1</v>
      </c>
      <c r="H73" s="121"/>
      <c r="I73" s="117">
        <f t="shared" si="6"/>
        <v>0</v>
      </c>
      <c r="J73" s="118"/>
      <c r="K73" s="119">
        <f t="shared" si="7"/>
        <v>0</v>
      </c>
      <c r="L73" s="120"/>
    </row>
    <row r="74" spans="2:12" ht="13.2">
      <c r="B74" s="150" t="s">
        <v>268</v>
      </c>
      <c r="C74" s="150"/>
      <c r="D74" s="150"/>
      <c r="E74" s="114" t="s">
        <v>217</v>
      </c>
      <c r="F74" s="115">
        <v>0</v>
      </c>
      <c r="G74" s="129">
        <v>1</v>
      </c>
      <c r="H74" s="121"/>
      <c r="I74" s="117">
        <f t="shared" si="6"/>
        <v>0</v>
      </c>
      <c r="J74" s="118"/>
      <c r="K74" s="119">
        <f t="shared" si="7"/>
        <v>0</v>
      </c>
      <c r="L74" s="120"/>
    </row>
    <row r="75" spans="2:12" ht="13.2">
      <c r="B75" s="150" t="s">
        <v>269</v>
      </c>
      <c r="C75" s="150"/>
      <c r="D75" s="150"/>
      <c r="E75" s="114" t="s">
        <v>217</v>
      </c>
      <c r="F75" s="115">
        <v>0</v>
      </c>
      <c r="G75" s="129">
        <v>1</v>
      </c>
      <c r="H75" s="121"/>
      <c r="I75" s="117">
        <f t="shared" si="6"/>
        <v>0</v>
      </c>
      <c r="J75" s="118"/>
      <c r="K75" s="119">
        <f t="shared" si="7"/>
        <v>0</v>
      </c>
      <c r="L75" s="120"/>
    </row>
    <row r="76" spans="2:12" ht="13.2">
      <c r="B76" s="150" t="s">
        <v>270</v>
      </c>
      <c r="C76" s="150"/>
      <c r="D76" s="150"/>
      <c r="E76" s="114" t="s">
        <v>217</v>
      </c>
      <c r="F76" s="115">
        <v>0</v>
      </c>
      <c r="G76" s="129">
        <v>1</v>
      </c>
      <c r="H76" s="121"/>
      <c r="I76" s="117">
        <f t="shared" si="6"/>
        <v>0</v>
      </c>
      <c r="J76" s="118"/>
      <c r="K76" s="119">
        <f t="shared" si="7"/>
        <v>0</v>
      </c>
      <c r="L76" s="120"/>
    </row>
    <row r="77" spans="2:12" ht="13.2">
      <c r="B77" s="150" t="s">
        <v>271</v>
      </c>
      <c r="C77" s="150"/>
      <c r="D77" s="150"/>
      <c r="E77" s="114" t="s">
        <v>217</v>
      </c>
      <c r="F77" s="115">
        <v>0</v>
      </c>
      <c r="G77" s="129">
        <v>1</v>
      </c>
      <c r="H77" s="121"/>
      <c r="I77" s="117">
        <f t="shared" si="6"/>
        <v>0</v>
      </c>
      <c r="J77" s="118"/>
      <c r="K77" s="119">
        <f t="shared" si="7"/>
        <v>0</v>
      </c>
      <c r="L77" s="120"/>
    </row>
    <row r="78" spans="2:12" ht="13.2">
      <c r="B78" s="150" t="s">
        <v>272</v>
      </c>
      <c r="C78" s="150"/>
      <c r="D78" s="150"/>
      <c r="E78" s="114" t="s">
        <v>273</v>
      </c>
      <c r="F78" s="115">
        <v>0</v>
      </c>
      <c r="G78" s="129">
        <v>1</v>
      </c>
      <c r="H78" s="121"/>
      <c r="I78" s="117">
        <f t="shared" si="6"/>
        <v>0</v>
      </c>
      <c r="J78" s="118"/>
      <c r="K78" s="119">
        <f t="shared" si="7"/>
        <v>0</v>
      </c>
      <c r="L78" s="120"/>
    </row>
    <row r="79" spans="2:12" ht="13.2">
      <c r="B79" s="131" t="s">
        <v>274</v>
      </c>
      <c r="C79" s="132"/>
      <c r="D79" s="133"/>
      <c r="E79" s="114" t="s">
        <v>273</v>
      </c>
      <c r="F79" s="115"/>
      <c r="G79" s="129"/>
      <c r="H79" s="121"/>
      <c r="I79" s="117"/>
      <c r="J79" s="118"/>
      <c r="K79" s="119"/>
      <c r="L79" s="120"/>
    </row>
    <row r="80" spans="2:12" ht="13.2">
      <c r="B80" s="131" t="s">
        <v>275</v>
      </c>
      <c r="C80" s="132"/>
      <c r="D80" s="133"/>
      <c r="E80" s="114" t="s">
        <v>273</v>
      </c>
      <c r="F80" s="115"/>
      <c r="G80" s="129"/>
      <c r="H80" s="121"/>
      <c r="I80" s="117"/>
      <c r="J80" s="118"/>
      <c r="K80" s="119"/>
      <c r="L80" s="120"/>
    </row>
    <row r="81" spans="2:12" ht="13.2">
      <c r="B81" s="131" t="s">
        <v>276</v>
      </c>
      <c r="C81" s="132"/>
      <c r="D81" s="133"/>
      <c r="E81" s="114" t="s">
        <v>273</v>
      </c>
      <c r="F81" s="115"/>
      <c r="G81" s="129"/>
      <c r="H81" s="121"/>
      <c r="I81" s="117"/>
      <c r="J81" s="118"/>
      <c r="K81" s="119"/>
      <c r="L81" s="120"/>
    </row>
    <row r="82" spans="2:12" ht="13.2">
      <c r="B82" s="131" t="s">
        <v>277</v>
      </c>
      <c r="C82" s="132"/>
      <c r="D82" s="133"/>
      <c r="E82" s="114" t="s">
        <v>273</v>
      </c>
      <c r="F82" s="115"/>
      <c r="G82" s="129"/>
      <c r="H82" s="121"/>
      <c r="I82" s="117"/>
      <c r="J82" s="118"/>
      <c r="K82" s="119"/>
      <c r="L82" s="120"/>
    </row>
    <row r="83" spans="2:12" ht="13.2">
      <c r="B83" s="131" t="s">
        <v>278</v>
      </c>
      <c r="C83" s="132"/>
      <c r="D83" s="133"/>
      <c r="E83" s="114" t="s">
        <v>273</v>
      </c>
      <c r="F83" s="115"/>
      <c r="G83" s="129"/>
      <c r="H83" s="121"/>
      <c r="I83" s="117"/>
      <c r="J83" s="118"/>
      <c r="K83" s="119"/>
      <c r="L83" s="120"/>
    </row>
    <row r="84" spans="2:12" ht="13.2">
      <c r="B84" s="131" t="s">
        <v>279</v>
      </c>
      <c r="C84" s="132"/>
      <c r="D84" s="133"/>
      <c r="E84" s="114"/>
      <c r="F84" s="115"/>
      <c r="G84" s="129"/>
      <c r="H84" s="121"/>
      <c r="I84" s="117"/>
      <c r="J84" s="118"/>
      <c r="K84" s="119"/>
      <c r="L84" s="120"/>
    </row>
    <row r="85" spans="2:12" ht="13.2">
      <c r="B85" s="131" t="s">
        <v>280</v>
      </c>
      <c r="C85" s="132"/>
      <c r="D85" s="133"/>
      <c r="E85" s="114"/>
      <c r="F85" s="115"/>
      <c r="G85" s="129"/>
      <c r="H85" s="121"/>
      <c r="I85" s="117"/>
      <c r="J85" s="118"/>
      <c r="K85" s="119"/>
      <c r="L85" s="120"/>
    </row>
    <row r="86" spans="2:12" ht="13.2">
      <c r="B86" s="131" t="s">
        <v>281</v>
      </c>
      <c r="C86" s="132"/>
      <c r="D86" s="133"/>
      <c r="E86" s="114"/>
      <c r="F86" s="115"/>
      <c r="G86" s="129"/>
      <c r="H86" s="121"/>
      <c r="I86" s="117"/>
      <c r="J86" s="118"/>
      <c r="K86" s="119"/>
      <c r="L86" s="120"/>
    </row>
    <row r="87" spans="2:12" ht="13.2">
      <c r="B87" s="131" t="s">
        <v>282</v>
      </c>
      <c r="C87" s="132"/>
      <c r="D87" s="133"/>
      <c r="E87" s="114"/>
      <c r="F87" s="115"/>
      <c r="G87" s="129"/>
      <c r="H87" s="121"/>
      <c r="I87" s="117"/>
      <c r="J87" s="118"/>
      <c r="K87" s="119"/>
      <c r="L87" s="120"/>
    </row>
    <row r="88" spans="2:12" ht="13.2">
      <c r="B88" s="131" t="s">
        <v>283</v>
      </c>
      <c r="C88" s="132"/>
      <c r="D88" s="133"/>
      <c r="E88" s="114"/>
      <c r="F88" s="115"/>
      <c r="G88" s="129"/>
      <c r="H88" s="121"/>
      <c r="I88" s="117"/>
      <c r="J88" s="118"/>
      <c r="K88" s="119"/>
      <c r="L88" s="120"/>
    </row>
    <row r="89" spans="2:12" ht="13.2">
      <c r="B89" s="131" t="s">
        <v>284</v>
      </c>
      <c r="C89" s="132"/>
      <c r="D89" s="133"/>
      <c r="E89" s="114"/>
      <c r="F89" s="115"/>
      <c r="G89" s="129"/>
      <c r="H89" s="121"/>
      <c r="I89" s="117"/>
      <c r="J89" s="118"/>
      <c r="K89" s="119"/>
      <c r="L89" s="120"/>
    </row>
    <row r="90" spans="2:12" ht="13.2">
      <c r="B90" s="131" t="s">
        <v>168</v>
      </c>
      <c r="C90" s="132"/>
      <c r="D90" s="133"/>
      <c r="E90" s="114" t="s">
        <v>217</v>
      </c>
      <c r="F90" s="115"/>
      <c r="G90" s="129"/>
      <c r="H90" s="121"/>
      <c r="I90" s="117"/>
      <c r="J90" s="118"/>
      <c r="K90" s="119"/>
      <c r="L90" s="120"/>
    </row>
    <row r="91" spans="2:12" ht="13.2">
      <c r="B91" s="131"/>
      <c r="C91" s="132"/>
      <c r="D91" s="133"/>
      <c r="E91" s="114"/>
      <c r="F91" s="115"/>
      <c r="G91" s="129"/>
      <c r="H91" s="121"/>
      <c r="I91" s="117"/>
      <c r="J91" s="118"/>
      <c r="K91" s="119"/>
      <c r="L91" s="120"/>
    </row>
    <row r="92" spans="2:12" ht="13.2">
      <c r="B92" s="143"/>
      <c r="C92" s="143"/>
      <c r="D92" s="143"/>
      <c r="E92" s="114"/>
      <c r="F92" s="115">
        <v>0</v>
      </c>
      <c r="G92" s="129">
        <v>1</v>
      </c>
      <c r="H92" s="121"/>
      <c r="I92" s="117">
        <f>F92/G92</f>
        <v>0</v>
      </c>
      <c r="J92" s="118"/>
      <c r="K92" s="119">
        <f>J92*I92</f>
        <v>0</v>
      </c>
      <c r="L92" s="120"/>
    </row>
    <row r="93" spans="2:12" ht="13.2">
      <c r="B93" s="143"/>
      <c r="C93" s="143"/>
      <c r="D93" s="143"/>
      <c r="E93" s="114"/>
      <c r="F93" s="115">
        <v>0</v>
      </c>
      <c r="G93" s="129">
        <v>1</v>
      </c>
      <c r="H93" s="121"/>
      <c r="I93" s="117">
        <f>F93/G93</f>
        <v>0</v>
      </c>
      <c r="J93" s="118"/>
      <c r="K93" s="119">
        <f>J93*I93</f>
        <v>0</v>
      </c>
      <c r="L93" s="124">
        <f>SUM(K57:K93)</f>
        <v>1.5</v>
      </c>
    </row>
    <row r="94" spans="2:12" ht="13.2">
      <c r="E94" s="16"/>
      <c r="F94" s="17"/>
      <c r="G94" s="104"/>
      <c r="H94" s="19"/>
      <c r="I94" s="105"/>
      <c r="J94" s="106"/>
      <c r="K94" s="17">
        <f>SUM(K5:K93)</f>
        <v>563.06791666666663</v>
      </c>
      <c r="L94" s="17">
        <f>SUM(L5:L93)</f>
        <v>563.06791666666663</v>
      </c>
    </row>
    <row r="95" spans="2:12" ht="13.2">
      <c r="D95" s="103"/>
      <c r="E95" s="134"/>
      <c r="F95" s="135"/>
      <c r="G95" s="136"/>
      <c r="H95" s="135"/>
      <c r="I95" s="135"/>
      <c r="K95" s="17"/>
      <c r="L95" s="17"/>
    </row>
    <row r="96" spans="2:12" ht="13.2">
      <c r="D96" s="103"/>
      <c r="E96" s="103"/>
      <c r="F96" s="103"/>
      <c r="H96" s="102"/>
      <c r="K96" s="17"/>
      <c r="L96" s="17"/>
    </row>
    <row r="97" spans="2:12" ht="13.2">
      <c r="D97" s="103"/>
      <c r="E97" s="103"/>
      <c r="F97" s="103"/>
      <c r="H97" s="102"/>
      <c r="K97" s="17"/>
      <c r="L97" s="17"/>
    </row>
    <row r="98" spans="2:12" ht="13.2">
      <c r="D98" s="103"/>
      <c r="E98" s="103"/>
      <c r="F98" s="103"/>
      <c r="H98" s="102"/>
      <c r="K98" s="17"/>
      <c r="L98" s="17"/>
    </row>
    <row r="99" spans="2:12" ht="13.2">
      <c r="D99" s="103"/>
      <c r="E99" s="103"/>
      <c r="F99" s="103"/>
      <c r="H99" s="102"/>
      <c r="K99" s="17"/>
      <c r="L99" s="17"/>
    </row>
    <row r="100" spans="2:12" ht="13.2">
      <c r="D100" s="103"/>
      <c r="E100" s="134"/>
      <c r="F100" s="135"/>
      <c r="G100" s="137"/>
      <c r="H100" s="136"/>
      <c r="K100" s="17"/>
      <c r="L100" s="17"/>
    </row>
    <row r="101" spans="2:12" ht="13.2">
      <c r="D101" s="103"/>
      <c r="H101" s="102"/>
      <c r="J101" s="103"/>
      <c r="K101" s="17"/>
      <c r="L101" s="17"/>
    </row>
    <row r="102" spans="2:12" ht="13.2">
      <c r="B102" s="15" t="s">
        <v>2</v>
      </c>
      <c r="D102" s="103"/>
      <c r="E102" s="134"/>
      <c r="F102" s="135"/>
      <c r="G102" s="137"/>
      <c r="H102" s="136"/>
      <c r="K102" s="17"/>
      <c r="L102" s="17"/>
    </row>
    <row r="103" spans="2:12" ht="13.2">
      <c r="E103" s="16"/>
      <c r="F103" s="17"/>
      <c r="G103" s="104"/>
      <c r="H103" s="19"/>
      <c r="I103" s="105"/>
      <c r="J103" s="106"/>
      <c r="K103" s="17"/>
      <c r="L103" s="17"/>
    </row>
    <row r="104" spans="2:12" ht="13.2">
      <c r="E104" s="16"/>
      <c r="F104" s="17"/>
      <c r="G104" s="104"/>
      <c r="H104" s="19"/>
      <c r="I104" s="105"/>
      <c r="J104" s="106"/>
      <c r="K104" s="17"/>
      <c r="L104" s="17"/>
    </row>
    <row r="105" spans="2:12" ht="13.2">
      <c r="E105" s="16"/>
      <c r="F105" s="17"/>
      <c r="G105" s="104"/>
      <c r="H105" s="19"/>
      <c r="I105" s="105"/>
      <c r="J105" s="106"/>
      <c r="K105" s="17"/>
      <c r="L105" s="17"/>
    </row>
    <row r="106" spans="2:12" ht="13.2">
      <c r="E106" s="16"/>
      <c r="F106" s="17"/>
      <c r="G106" s="104"/>
      <c r="H106" s="19"/>
      <c r="I106" s="105"/>
      <c r="J106" s="106"/>
      <c r="K106" s="17"/>
      <c r="L106" s="17"/>
    </row>
    <row r="107" spans="2:12" ht="13.2">
      <c r="E107" s="16"/>
      <c r="F107" s="17"/>
      <c r="G107" s="104"/>
      <c r="H107" s="19"/>
      <c r="I107" s="105"/>
      <c r="J107" s="106"/>
      <c r="K107" s="17"/>
      <c r="L107" s="17"/>
    </row>
    <row r="108" spans="2:12" ht="13.2">
      <c r="E108" s="16"/>
      <c r="F108" s="17"/>
      <c r="G108" s="104"/>
      <c r="H108" s="19"/>
      <c r="I108" s="105"/>
      <c r="J108" s="106"/>
      <c r="K108" s="17"/>
      <c r="L108" s="17"/>
    </row>
    <row r="109" spans="2:12" ht="13.2">
      <c r="E109" s="16"/>
      <c r="F109" s="17"/>
      <c r="G109" s="104"/>
      <c r="H109" s="19"/>
      <c r="I109" s="105"/>
      <c r="J109" s="106"/>
      <c r="K109" s="17"/>
      <c r="L109" s="17"/>
    </row>
    <row r="110" spans="2:12" ht="13.2">
      <c r="E110" s="16"/>
      <c r="F110" s="17"/>
      <c r="G110" s="104"/>
      <c r="H110" s="19"/>
      <c r="I110" s="105"/>
      <c r="J110" s="106"/>
      <c r="K110" s="17"/>
      <c r="L110" s="17"/>
    </row>
    <row r="111" spans="2:12" ht="13.2">
      <c r="E111" s="16"/>
      <c r="F111" s="17"/>
      <c r="G111" s="104"/>
      <c r="H111" s="19"/>
      <c r="I111" s="105"/>
      <c r="J111" s="106"/>
      <c r="K111" s="17"/>
      <c r="L111" s="17"/>
    </row>
    <row r="112" spans="2:12" ht="13.2">
      <c r="E112" s="16"/>
      <c r="F112" s="17"/>
      <c r="G112" s="104"/>
      <c r="H112" s="19"/>
      <c r="I112" s="105"/>
      <c r="J112" s="106"/>
      <c r="K112" s="17"/>
      <c r="L112" s="17"/>
    </row>
    <row r="113" spans="5:12" ht="13.2">
      <c r="E113" s="16"/>
      <c r="F113" s="17"/>
      <c r="G113" s="104"/>
      <c r="H113" s="19"/>
      <c r="I113" s="105"/>
      <c r="J113" s="106"/>
      <c r="K113" s="17"/>
      <c r="L113" s="17"/>
    </row>
    <row r="114" spans="5:12" ht="13.2">
      <c r="E114" s="16"/>
      <c r="F114" s="17"/>
      <c r="G114" s="104"/>
      <c r="H114" s="19"/>
      <c r="I114" s="105"/>
      <c r="J114" s="106"/>
      <c r="K114" s="17"/>
      <c r="L114" s="17"/>
    </row>
    <row r="115" spans="5:12" ht="13.2">
      <c r="E115" s="16"/>
      <c r="F115" s="17"/>
      <c r="G115" s="104"/>
      <c r="H115" s="19"/>
      <c r="I115" s="105"/>
      <c r="J115" s="106"/>
      <c r="K115" s="17"/>
      <c r="L115" s="17"/>
    </row>
    <row r="116" spans="5:12" ht="13.2">
      <c r="E116" s="16"/>
      <c r="F116" s="17"/>
      <c r="G116" s="104"/>
      <c r="H116" s="19"/>
      <c r="I116" s="105"/>
      <c r="J116" s="106"/>
      <c r="K116" s="17"/>
      <c r="L116" s="17"/>
    </row>
    <row r="117" spans="5:12" ht="13.2">
      <c r="E117" s="16"/>
      <c r="F117" s="17"/>
      <c r="G117" s="104"/>
      <c r="H117" s="19"/>
      <c r="I117" s="105"/>
      <c r="J117" s="106"/>
      <c r="K117" s="17"/>
      <c r="L117" s="17"/>
    </row>
    <row r="118" spans="5:12" ht="13.2">
      <c r="E118" s="16"/>
      <c r="F118" s="17"/>
      <c r="G118" s="104"/>
      <c r="H118" s="19"/>
      <c r="I118" s="105"/>
      <c r="J118" s="106"/>
      <c r="K118" s="17"/>
      <c r="L118" s="17"/>
    </row>
    <row r="119" spans="5:12" ht="13.2">
      <c r="E119" s="16"/>
      <c r="F119" s="17"/>
      <c r="G119" s="104"/>
      <c r="H119" s="19"/>
      <c r="I119" s="105"/>
      <c r="J119" s="106"/>
      <c r="K119" s="17"/>
      <c r="L119" s="17"/>
    </row>
    <row r="120" spans="5:12" ht="13.2">
      <c r="E120" s="16"/>
      <c r="F120" s="17"/>
      <c r="G120" s="104"/>
      <c r="H120" s="19"/>
      <c r="I120" s="105"/>
      <c r="J120" s="106"/>
      <c r="K120" s="17"/>
      <c r="L120" s="17"/>
    </row>
    <row r="121" spans="5:12" ht="13.2">
      <c r="E121" s="16"/>
      <c r="F121" s="17"/>
      <c r="G121" s="104"/>
      <c r="H121" s="19"/>
      <c r="I121" s="105"/>
      <c r="J121" s="106"/>
      <c r="K121" s="17"/>
      <c r="L121" s="17"/>
    </row>
    <row r="122" spans="5:12" ht="13.2">
      <c r="E122" s="16"/>
      <c r="F122" s="17"/>
      <c r="G122" s="104"/>
      <c r="H122" s="19"/>
      <c r="I122" s="105"/>
      <c r="J122" s="106"/>
      <c r="K122" s="17"/>
      <c r="L122" s="17"/>
    </row>
    <row r="123" spans="5:12" ht="13.2">
      <c r="E123" s="16"/>
      <c r="F123" s="17"/>
      <c r="G123" s="104"/>
      <c r="H123" s="19"/>
      <c r="I123" s="105"/>
      <c r="J123" s="106"/>
      <c r="K123" s="17"/>
      <c r="L123" s="17"/>
    </row>
    <row r="124" spans="5:12" ht="13.2">
      <c r="E124" s="16"/>
      <c r="F124" s="17"/>
      <c r="G124" s="104"/>
      <c r="H124" s="19"/>
      <c r="I124" s="105"/>
      <c r="J124" s="106"/>
      <c r="K124" s="17"/>
      <c r="L124" s="17"/>
    </row>
    <row r="125" spans="5:12" ht="13.2">
      <c r="E125" s="16"/>
      <c r="F125" s="17"/>
      <c r="G125" s="104"/>
      <c r="H125" s="19"/>
      <c r="I125" s="105"/>
      <c r="J125" s="106"/>
      <c r="K125" s="17"/>
      <c r="L125" s="17"/>
    </row>
    <row r="126" spans="5:12" ht="13.2">
      <c r="E126" s="16"/>
      <c r="F126" s="17"/>
      <c r="G126" s="104"/>
      <c r="H126" s="19"/>
      <c r="I126" s="105"/>
      <c r="J126" s="106"/>
      <c r="K126" s="17"/>
      <c r="L126" s="17"/>
    </row>
    <row r="127" spans="5:12" ht="13.2">
      <c r="E127" s="16"/>
      <c r="F127" s="17"/>
      <c r="G127" s="104"/>
      <c r="H127" s="19"/>
      <c r="I127" s="105"/>
      <c r="J127" s="106"/>
      <c r="K127" s="17"/>
      <c r="L127" s="17"/>
    </row>
    <row r="128" spans="5:12" ht="13.2">
      <c r="E128" s="16"/>
      <c r="F128" s="17"/>
      <c r="G128" s="104"/>
      <c r="H128" s="19"/>
      <c r="I128" s="105"/>
      <c r="J128" s="106"/>
      <c r="K128" s="17"/>
      <c r="L128" s="17"/>
    </row>
    <row r="129" spans="5:27" ht="13.2">
      <c r="E129" s="16"/>
      <c r="F129" s="17"/>
      <c r="G129" s="104"/>
      <c r="H129" s="19"/>
      <c r="I129" s="105"/>
      <c r="J129" s="106"/>
      <c r="K129" s="17"/>
      <c r="L129" s="17"/>
    </row>
    <row r="130" spans="5:27" ht="13.2">
      <c r="E130" s="16"/>
      <c r="F130" s="17"/>
      <c r="G130" s="104"/>
      <c r="H130" s="19"/>
      <c r="I130" s="105"/>
      <c r="J130" s="106"/>
      <c r="K130" s="17"/>
      <c r="L130" s="17"/>
    </row>
    <row r="131" spans="5:27" ht="13.2">
      <c r="E131" s="16"/>
      <c r="F131" s="17"/>
      <c r="G131" s="104"/>
      <c r="H131" s="19"/>
      <c r="I131" s="105"/>
      <c r="J131" s="106"/>
      <c r="K131" s="17"/>
      <c r="L131" s="17"/>
    </row>
    <row r="132" spans="5:27" ht="13.2">
      <c r="E132" s="16"/>
      <c r="F132" s="17"/>
      <c r="G132" s="104"/>
      <c r="H132" s="19"/>
      <c r="I132" s="105"/>
      <c r="J132" s="106"/>
      <c r="K132" s="17"/>
      <c r="L132" s="17"/>
    </row>
    <row r="133" spans="5:27" ht="13.2">
      <c r="E133" s="16"/>
      <c r="F133" s="17"/>
      <c r="G133" s="104"/>
      <c r="H133" s="19"/>
      <c r="I133" s="105"/>
      <c r="J133" s="106"/>
      <c r="K133" s="17"/>
      <c r="L133" s="17"/>
    </row>
    <row r="134" spans="5:27" ht="13.2">
      <c r="E134" s="16"/>
      <c r="F134" s="17"/>
      <c r="G134" s="104"/>
      <c r="H134" s="19"/>
      <c r="I134" s="105"/>
      <c r="J134" s="106"/>
      <c r="K134" s="17"/>
      <c r="L134" s="17"/>
    </row>
    <row r="135" spans="5:27" ht="13.2">
      <c r="E135" s="16"/>
      <c r="F135" s="17"/>
      <c r="G135" s="104"/>
      <c r="H135" s="19"/>
      <c r="I135" s="105"/>
      <c r="J135" s="106"/>
      <c r="K135" s="17"/>
      <c r="L135" s="17"/>
    </row>
    <row r="136" spans="5:27" ht="13.2">
      <c r="E136" s="16"/>
      <c r="F136" s="17"/>
      <c r="G136" s="104"/>
      <c r="H136" s="19"/>
      <c r="I136" s="105"/>
      <c r="J136" s="106"/>
      <c r="K136" s="17"/>
      <c r="L136" s="17"/>
    </row>
    <row r="137" spans="5:27" ht="13.2">
      <c r="E137" s="16"/>
      <c r="F137" s="17"/>
      <c r="G137" s="104"/>
      <c r="H137" s="19"/>
      <c r="I137" s="105"/>
      <c r="J137" s="106"/>
      <c r="K137" s="17"/>
      <c r="L137" s="17"/>
    </row>
    <row r="138" spans="5:27" ht="13.2">
      <c r="E138" s="16"/>
      <c r="F138" s="17"/>
      <c r="G138" s="104"/>
      <c r="H138" s="19"/>
      <c r="I138" s="105"/>
      <c r="J138" s="106"/>
      <c r="K138" s="17"/>
      <c r="L138" s="17"/>
    </row>
    <row r="139" spans="5:27" ht="13.2">
      <c r="E139" s="16"/>
      <c r="F139" s="17"/>
      <c r="G139" s="104"/>
      <c r="H139" s="19"/>
      <c r="I139" s="105"/>
      <c r="J139" s="106"/>
      <c r="K139" s="17"/>
      <c r="L139" s="17"/>
    </row>
    <row r="140" spans="5:27" ht="13.2">
      <c r="E140" s="16"/>
      <c r="F140" s="17"/>
      <c r="G140" s="104"/>
      <c r="H140" s="19"/>
      <c r="I140" s="105"/>
      <c r="J140" s="106"/>
      <c r="K140" s="17"/>
      <c r="L140" s="17"/>
    </row>
    <row r="141" spans="5:27" ht="13.2">
      <c r="E141" s="16"/>
      <c r="F141" s="17"/>
      <c r="G141" s="104"/>
      <c r="H141" s="19"/>
      <c r="I141" s="105"/>
      <c r="J141" s="106"/>
      <c r="K141" s="17"/>
      <c r="L141" s="17"/>
    </row>
    <row r="142" spans="5:27" ht="13.2">
      <c r="E142" s="16"/>
      <c r="F142" s="17"/>
      <c r="G142" s="104"/>
      <c r="H142" s="19"/>
      <c r="I142" s="105"/>
      <c r="J142" s="106"/>
      <c r="K142" s="17"/>
      <c r="L142" s="17"/>
    </row>
    <row r="143" spans="5:27" ht="13.2">
      <c r="E143" s="16"/>
      <c r="F143" s="17"/>
      <c r="G143" s="104"/>
      <c r="H143" s="19"/>
      <c r="I143" s="105"/>
      <c r="J143" s="106"/>
    </row>
    <row r="144" spans="5:27" s="15" customFormat="1" ht="13.2">
      <c r="E144" s="16"/>
      <c r="F144" s="17"/>
      <c r="G144" s="104"/>
      <c r="H144" s="19"/>
      <c r="I144" s="105"/>
      <c r="J144" s="106"/>
      <c r="K144" s="17"/>
      <c r="L144" s="17"/>
      <c r="AA144" s="103"/>
    </row>
    <row r="145" spans="5:27" s="15" customFormat="1" ht="13.2">
      <c r="E145" s="16"/>
      <c r="F145" s="17"/>
      <c r="G145" s="104"/>
      <c r="H145" s="19"/>
      <c r="I145" s="105"/>
      <c r="J145" s="106"/>
      <c r="K145" s="17"/>
      <c r="L145" s="17"/>
      <c r="AA145" s="103"/>
    </row>
    <row r="146" spans="5:27" s="15" customFormat="1" ht="13.2">
      <c r="E146" s="16"/>
      <c r="F146" s="17"/>
      <c r="G146" s="104"/>
      <c r="H146" s="19"/>
      <c r="I146" s="105"/>
      <c r="J146" s="106"/>
      <c r="K146" s="17"/>
      <c r="L146" s="17"/>
      <c r="AA146" s="103"/>
    </row>
    <row r="147" spans="5:27" s="15" customFormat="1" ht="13.2">
      <c r="E147" s="16"/>
      <c r="F147" s="17"/>
      <c r="G147" s="104"/>
      <c r="H147" s="19"/>
      <c r="I147" s="105"/>
      <c r="J147" s="106"/>
      <c r="K147" s="17"/>
      <c r="L147" s="17"/>
      <c r="AA147" s="103"/>
    </row>
    <row r="148" spans="5:27" s="15" customFormat="1" ht="13.2">
      <c r="E148" s="16"/>
      <c r="F148" s="17"/>
      <c r="G148" s="104"/>
      <c r="H148" s="19"/>
      <c r="I148" s="105"/>
      <c r="J148" s="106"/>
      <c r="K148" s="17"/>
      <c r="L148" s="17"/>
      <c r="AA148" s="103"/>
    </row>
    <row r="149" spans="5:27" s="15" customFormat="1" ht="13.2">
      <c r="E149" s="16"/>
      <c r="F149" s="17"/>
      <c r="G149" s="104"/>
      <c r="H149" s="19"/>
      <c r="I149" s="105"/>
      <c r="J149" s="106"/>
      <c r="K149" s="17"/>
      <c r="L149" s="17"/>
      <c r="AA149" s="103"/>
    </row>
    <row r="150" spans="5:27" s="15" customFormat="1" ht="13.2">
      <c r="E150" s="16"/>
      <c r="F150" s="17"/>
      <c r="G150" s="104"/>
      <c r="H150" s="19"/>
      <c r="I150" s="105"/>
      <c r="J150" s="106"/>
      <c r="K150" s="17"/>
      <c r="L150" s="17"/>
      <c r="AA150" s="103"/>
    </row>
    <row r="151" spans="5:27" s="15" customFormat="1" ht="13.2">
      <c r="E151" s="16"/>
      <c r="F151" s="17"/>
      <c r="G151" s="104"/>
      <c r="H151" s="19"/>
      <c r="I151" s="105"/>
      <c r="J151" s="106"/>
      <c r="K151" s="17"/>
      <c r="L151" s="17"/>
      <c r="AA151" s="103"/>
    </row>
    <row r="152" spans="5:27" s="15" customFormat="1" ht="13.2">
      <c r="E152" s="16"/>
      <c r="F152" s="17"/>
      <c r="G152" s="104"/>
      <c r="H152" s="19"/>
      <c r="I152" s="105"/>
      <c r="J152" s="106"/>
      <c r="K152" s="17"/>
      <c r="L152" s="17"/>
      <c r="AA152" s="103"/>
    </row>
    <row r="153" spans="5:27" s="15" customFormat="1" ht="13.2">
      <c r="E153" s="16"/>
      <c r="F153" s="17"/>
      <c r="G153" s="104"/>
      <c r="H153" s="19"/>
      <c r="I153" s="105"/>
      <c r="J153" s="106"/>
      <c r="K153" s="17"/>
      <c r="L153" s="17"/>
      <c r="AA153" s="103"/>
    </row>
    <row r="154" spans="5:27" s="15" customFormat="1" ht="13.2">
      <c r="E154" s="16"/>
      <c r="F154" s="17"/>
      <c r="G154" s="104"/>
      <c r="H154" s="19"/>
      <c r="I154" s="105"/>
      <c r="J154" s="106"/>
      <c r="K154" s="17"/>
      <c r="L154" s="17"/>
      <c r="AA154" s="103"/>
    </row>
    <row r="155" spans="5:27" s="15" customFormat="1" ht="13.2">
      <c r="E155" s="16"/>
      <c r="F155" s="17"/>
      <c r="G155" s="104"/>
      <c r="H155" s="19"/>
      <c r="I155" s="105"/>
      <c r="J155" s="106"/>
      <c r="K155" s="17"/>
      <c r="L155" s="17"/>
      <c r="AA155" s="103"/>
    </row>
    <row r="156" spans="5:27" s="15" customFormat="1" ht="13.2">
      <c r="E156" s="16"/>
      <c r="F156" s="17"/>
      <c r="G156" s="104"/>
      <c r="H156" s="19"/>
      <c r="I156" s="105"/>
      <c r="J156" s="106"/>
      <c r="K156" s="17"/>
      <c r="L156" s="17"/>
      <c r="AA156" s="103"/>
    </row>
    <row r="157" spans="5:27" s="15" customFormat="1" ht="13.2">
      <c r="E157" s="16"/>
      <c r="F157" s="17"/>
      <c r="G157" s="104"/>
      <c r="H157" s="19"/>
      <c r="I157" s="105"/>
      <c r="J157" s="106"/>
      <c r="K157" s="17"/>
      <c r="L157" s="17"/>
      <c r="AA157" s="103"/>
    </row>
    <row r="158" spans="5:27" s="15" customFormat="1" ht="13.2">
      <c r="E158" s="16"/>
      <c r="F158" s="17"/>
      <c r="G158" s="104"/>
      <c r="H158" s="19"/>
      <c r="I158" s="105"/>
      <c r="J158" s="106"/>
      <c r="K158" s="17"/>
      <c r="L158" s="17"/>
      <c r="AA158" s="103"/>
    </row>
    <row r="159" spans="5:27" s="15" customFormat="1" ht="13.2">
      <c r="E159" s="16"/>
      <c r="F159" s="17"/>
      <c r="G159" s="104"/>
      <c r="H159" s="19"/>
      <c r="I159" s="105"/>
      <c r="J159" s="106"/>
      <c r="K159" s="17"/>
      <c r="L159" s="17"/>
      <c r="AA159" s="103"/>
    </row>
    <row r="160" spans="5:27" s="15" customFormat="1" ht="13.2">
      <c r="E160" s="16"/>
      <c r="F160" s="17"/>
      <c r="G160" s="104"/>
      <c r="H160" s="19"/>
      <c r="I160" s="105"/>
      <c r="J160" s="106"/>
      <c r="K160" s="17"/>
      <c r="L160" s="17"/>
      <c r="AA160" s="103"/>
    </row>
    <row r="161" spans="5:27" s="15" customFormat="1" ht="13.2">
      <c r="E161" s="16"/>
      <c r="F161" s="17"/>
      <c r="G161" s="104"/>
      <c r="H161" s="19"/>
      <c r="I161" s="105"/>
      <c r="J161" s="106"/>
      <c r="K161" s="17"/>
      <c r="L161" s="17"/>
      <c r="AA161" s="103"/>
    </row>
    <row r="162" spans="5:27" s="15" customFormat="1" ht="13.2">
      <c r="E162" s="16"/>
      <c r="F162" s="17"/>
      <c r="G162" s="104"/>
      <c r="H162" s="19"/>
      <c r="I162" s="105"/>
      <c r="J162" s="106"/>
      <c r="K162" s="17"/>
      <c r="L162" s="17"/>
      <c r="AA162" s="103"/>
    </row>
    <row r="163" spans="5:27" s="15" customFormat="1" ht="13.2">
      <c r="E163" s="16"/>
      <c r="F163" s="17"/>
      <c r="G163" s="104"/>
      <c r="H163" s="19"/>
      <c r="I163" s="105"/>
      <c r="J163" s="106"/>
      <c r="K163" s="17"/>
      <c r="L163" s="17"/>
      <c r="AA163" s="103"/>
    </row>
    <row r="164" spans="5:27" s="15" customFormat="1" ht="13.2">
      <c r="E164" s="16"/>
      <c r="F164" s="17"/>
      <c r="G164" s="104"/>
      <c r="H164" s="19"/>
      <c r="I164" s="105"/>
      <c r="J164" s="106"/>
      <c r="K164" s="17"/>
      <c r="L164" s="17"/>
      <c r="AA164" s="103"/>
    </row>
    <row r="165" spans="5:27" s="15" customFormat="1" ht="13.2">
      <c r="E165" s="16"/>
      <c r="F165" s="17"/>
      <c r="G165" s="104"/>
      <c r="H165" s="19"/>
      <c r="I165" s="105"/>
      <c r="J165" s="106"/>
      <c r="K165" s="17"/>
      <c r="L165" s="17"/>
      <c r="AA165" s="103"/>
    </row>
    <row r="166" spans="5:27" s="15" customFormat="1" ht="13.2">
      <c r="E166" s="16"/>
      <c r="F166" s="17"/>
      <c r="G166" s="104"/>
      <c r="H166" s="19"/>
      <c r="I166" s="105"/>
      <c r="J166" s="106"/>
      <c r="K166" s="17"/>
      <c r="L166" s="17"/>
      <c r="AA166" s="103"/>
    </row>
    <row r="167" spans="5:27" s="15" customFormat="1" ht="13.2">
      <c r="E167" s="16"/>
      <c r="F167" s="17"/>
      <c r="G167" s="104"/>
      <c r="H167" s="19"/>
      <c r="I167" s="105"/>
      <c r="J167" s="106"/>
      <c r="K167" s="17"/>
      <c r="L167" s="17"/>
      <c r="AA167" s="103"/>
    </row>
    <row r="168" spans="5:27" s="15" customFormat="1" ht="13.2">
      <c r="E168" s="16"/>
      <c r="F168" s="17"/>
      <c r="G168" s="104"/>
      <c r="H168" s="19"/>
      <c r="I168" s="105"/>
      <c r="J168" s="106"/>
      <c r="K168" s="17"/>
      <c r="L168" s="17"/>
      <c r="AA168" s="103"/>
    </row>
    <row r="169" spans="5:27" s="15" customFormat="1" ht="13.2">
      <c r="E169" s="16"/>
      <c r="F169" s="17"/>
      <c r="G169" s="104"/>
      <c r="H169" s="19"/>
      <c r="I169" s="105"/>
      <c r="J169" s="106"/>
      <c r="K169" s="17"/>
      <c r="L169" s="17"/>
      <c r="AA169" s="103"/>
    </row>
    <row r="170" spans="5:27" s="15" customFormat="1" ht="13.2">
      <c r="E170" s="16"/>
      <c r="F170" s="17"/>
      <c r="G170" s="104"/>
      <c r="H170" s="19"/>
      <c r="I170" s="105"/>
      <c r="J170" s="106"/>
      <c r="K170" s="17"/>
      <c r="L170" s="17"/>
      <c r="AA170" s="103"/>
    </row>
    <row r="171" spans="5:27" s="15" customFormat="1" ht="13.2">
      <c r="E171" s="16"/>
      <c r="F171" s="17"/>
      <c r="G171" s="104"/>
      <c r="H171" s="19"/>
      <c r="I171" s="105"/>
      <c r="J171" s="106"/>
      <c r="K171" s="17"/>
      <c r="L171" s="17"/>
      <c r="AA171" s="103"/>
    </row>
    <row r="172" spans="5:27" s="15" customFormat="1" ht="13.2">
      <c r="E172" s="16"/>
      <c r="F172" s="17"/>
      <c r="G172" s="104"/>
      <c r="H172" s="19"/>
      <c r="I172" s="105"/>
      <c r="J172" s="106"/>
      <c r="K172" s="17"/>
      <c r="L172" s="17"/>
      <c r="AA172" s="103"/>
    </row>
    <row r="173" spans="5:27" s="15" customFormat="1" ht="13.2">
      <c r="E173" s="16"/>
      <c r="F173" s="17"/>
      <c r="G173" s="104"/>
      <c r="H173" s="19"/>
      <c r="I173" s="105"/>
      <c r="J173" s="106"/>
      <c r="K173" s="17"/>
      <c r="L173" s="17"/>
      <c r="AA173" s="103"/>
    </row>
    <row r="174" spans="5:27" s="15" customFormat="1" ht="13.2">
      <c r="E174" s="16"/>
      <c r="F174" s="17"/>
      <c r="G174" s="104"/>
      <c r="H174" s="19"/>
      <c r="I174" s="105"/>
      <c r="J174" s="106"/>
      <c r="K174" s="17"/>
      <c r="L174" s="17"/>
      <c r="AA174" s="103"/>
    </row>
    <row r="175" spans="5:27" s="15" customFormat="1" ht="13.2">
      <c r="E175" s="16"/>
      <c r="F175" s="17"/>
      <c r="G175" s="104"/>
      <c r="H175" s="19"/>
      <c r="I175" s="105"/>
      <c r="J175" s="106"/>
      <c r="K175" s="17"/>
      <c r="L175" s="17"/>
      <c r="AA175" s="103"/>
    </row>
    <row r="176" spans="5:27" s="15" customFormat="1" ht="13.2">
      <c r="E176" s="16"/>
      <c r="F176" s="17"/>
      <c r="G176" s="104"/>
      <c r="H176" s="19"/>
      <c r="I176" s="105"/>
      <c r="J176" s="106"/>
      <c r="K176" s="17"/>
      <c r="L176" s="17"/>
      <c r="AA176" s="103"/>
    </row>
    <row r="177" spans="5:27" s="15" customFormat="1" ht="13.2">
      <c r="E177" s="16"/>
      <c r="F177" s="17"/>
      <c r="G177" s="104"/>
      <c r="H177" s="19"/>
      <c r="I177" s="105"/>
      <c r="J177" s="106"/>
      <c r="K177" s="17"/>
      <c r="L177" s="17"/>
      <c r="AA177" s="103"/>
    </row>
    <row r="178" spans="5:27" s="15" customFormat="1" ht="13.2">
      <c r="E178" s="16"/>
      <c r="F178" s="17"/>
      <c r="G178" s="104"/>
      <c r="H178" s="19"/>
      <c r="I178" s="105"/>
      <c r="J178" s="106"/>
      <c r="K178" s="17"/>
      <c r="L178" s="17"/>
      <c r="AA178" s="103"/>
    </row>
    <row r="179" spans="5:27" s="15" customFormat="1" ht="13.2">
      <c r="E179" s="16"/>
      <c r="F179" s="17"/>
      <c r="G179" s="104"/>
      <c r="H179" s="19"/>
      <c r="I179" s="105"/>
      <c r="J179" s="106"/>
      <c r="K179" s="17"/>
      <c r="L179" s="17"/>
      <c r="AA179" s="103"/>
    </row>
    <row r="180" spans="5:27" s="15" customFormat="1" ht="13.2">
      <c r="E180" s="16"/>
      <c r="F180" s="17"/>
      <c r="G180" s="104"/>
      <c r="H180" s="19"/>
      <c r="I180" s="105"/>
      <c r="J180" s="106"/>
      <c r="K180" s="17"/>
      <c r="L180" s="17"/>
      <c r="AA180" s="103"/>
    </row>
    <row r="181" spans="5:27" s="15" customFormat="1" ht="13.2">
      <c r="E181" s="16"/>
      <c r="F181" s="17"/>
      <c r="G181" s="104"/>
      <c r="H181" s="19"/>
      <c r="I181" s="105"/>
      <c r="J181" s="106"/>
      <c r="K181" s="17"/>
      <c r="L181" s="17"/>
      <c r="AA181" s="103"/>
    </row>
    <row r="182" spans="5:27" s="15" customFormat="1" ht="13.2">
      <c r="E182" s="16"/>
      <c r="F182" s="17"/>
      <c r="G182" s="104"/>
      <c r="H182" s="19"/>
      <c r="I182" s="105"/>
      <c r="J182" s="106"/>
      <c r="K182" s="17"/>
      <c r="L182" s="17"/>
      <c r="AA182" s="103"/>
    </row>
    <row r="183" spans="5:27" s="15" customFormat="1" ht="13.2">
      <c r="E183" s="16"/>
      <c r="F183" s="17"/>
      <c r="G183" s="104"/>
      <c r="H183" s="19"/>
      <c r="I183" s="105"/>
      <c r="J183" s="106"/>
      <c r="K183" s="17"/>
      <c r="L183" s="17"/>
      <c r="AA183" s="103"/>
    </row>
    <row r="184" spans="5:27" s="15" customFormat="1" ht="13.2">
      <c r="E184" s="16"/>
      <c r="F184" s="17"/>
      <c r="G184" s="104"/>
      <c r="H184" s="19"/>
      <c r="I184" s="105"/>
      <c r="J184" s="106"/>
      <c r="K184" s="17"/>
      <c r="L184" s="17"/>
      <c r="AA184" s="103"/>
    </row>
    <row r="185" spans="5:27" s="15" customFormat="1" ht="13.2">
      <c r="E185" s="16"/>
      <c r="F185" s="17"/>
      <c r="G185" s="104"/>
      <c r="H185" s="19"/>
      <c r="I185" s="105"/>
      <c r="J185" s="106"/>
      <c r="K185" s="17"/>
      <c r="L185" s="17"/>
      <c r="AA185" s="103"/>
    </row>
    <row r="186" spans="5:27" s="15" customFormat="1" ht="13.2">
      <c r="E186" s="16"/>
      <c r="F186" s="17"/>
      <c r="G186" s="104"/>
      <c r="H186" s="19"/>
      <c r="I186" s="105"/>
      <c r="J186" s="106"/>
      <c r="K186" s="17"/>
      <c r="L186" s="17"/>
      <c r="AA186" s="103"/>
    </row>
    <row r="187" spans="5:27" s="15" customFormat="1" ht="13.2">
      <c r="E187" s="16"/>
      <c r="F187" s="17"/>
      <c r="G187" s="104"/>
      <c r="H187" s="19"/>
      <c r="I187" s="105"/>
      <c r="J187" s="106"/>
      <c r="K187" s="17"/>
      <c r="L187" s="17"/>
      <c r="AA187" s="103"/>
    </row>
    <row r="188" spans="5:27" s="15" customFormat="1" ht="13.2">
      <c r="E188" s="16"/>
      <c r="F188" s="17"/>
      <c r="G188" s="104"/>
      <c r="H188" s="19"/>
      <c r="I188" s="105"/>
      <c r="J188" s="106"/>
      <c r="K188" s="17"/>
      <c r="L188" s="17"/>
      <c r="AA188" s="103"/>
    </row>
    <row r="189" spans="5:27" s="15" customFormat="1" ht="13.2">
      <c r="E189" s="16"/>
      <c r="F189" s="17"/>
      <c r="G189" s="104"/>
      <c r="H189" s="19"/>
      <c r="I189" s="105"/>
      <c r="J189" s="106"/>
      <c r="K189" s="17"/>
      <c r="L189" s="17"/>
      <c r="AA189" s="103"/>
    </row>
    <row r="190" spans="5:27" s="15" customFormat="1" ht="13.2">
      <c r="E190" s="16"/>
      <c r="F190" s="17"/>
      <c r="G190" s="104"/>
      <c r="H190" s="19"/>
      <c r="I190" s="105"/>
      <c r="J190" s="106"/>
      <c r="K190" s="17"/>
      <c r="L190" s="17"/>
      <c r="AA190" s="103"/>
    </row>
    <row r="191" spans="5:27" s="15" customFormat="1" ht="13.2">
      <c r="E191" s="16"/>
      <c r="F191" s="17"/>
      <c r="G191" s="104"/>
      <c r="H191" s="19"/>
      <c r="I191" s="105"/>
      <c r="J191" s="106"/>
      <c r="K191" s="17"/>
      <c r="L191" s="17"/>
      <c r="AA191" s="103"/>
    </row>
    <row r="192" spans="5:27" s="15" customFormat="1" ht="13.2">
      <c r="E192" s="16"/>
      <c r="F192" s="17"/>
      <c r="G192" s="104"/>
      <c r="H192" s="19"/>
      <c r="I192" s="105"/>
      <c r="J192" s="106"/>
      <c r="K192" s="17"/>
      <c r="L192" s="17"/>
      <c r="AA192" s="103"/>
    </row>
    <row r="193" spans="5:27" s="15" customFormat="1" ht="13.2">
      <c r="E193" s="16"/>
      <c r="F193" s="17"/>
      <c r="G193" s="104"/>
      <c r="H193" s="19"/>
      <c r="I193" s="105"/>
      <c r="J193" s="106"/>
      <c r="K193" s="17"/>
      <c r="L193" s="17"/>
      <c r="AA193" s="103"/>
    </row>
    <row r="194" spans="5:27" s="15" customFormat="1" ht="13.2">
      <c r="E194" s="16"/>
      <c r="F194" s="17"/>
      <c r="G194" s="104"/>
      <c r="H194" s="19"/>
      <c r="I194" s="105"/>
      <c r="J194" s="106"/>
      <c r="K194" s="17"/>
      <c r="L194" s="17"/>
      <c r="AA194" s="103"/>
    </row>
    <row r="195" spans="5:27" s="15" customFormat="1" ht="13.2">
      <c r="E195" s="16"/>
      <c r="F195" s="17"/>
      <c r="G195" s="104"/>
      <c r="H195" s="19"/>
      <c r="I195" s="105"/>
      <c r="J195" s="106"/>
      <c r="K195" s="17"/>
      <c r="L195" s="17"/>
      <c r="AA195" s="103"/>
    </row>
    <row r="196" spans="5:27" s="15" customFormat="1" ht="13.2">
      <c r="E196" s="16"/>
      <c r="F196" s="17"/>
      <c r="G196" s="104"/>
      <c r="H196" s="19"/>
      <c r="I196" s="105"/>
      <c r="J196" s="106"/>
      <c r="K196" s="17"/>
      <c r="L196" s="17"/>
      <c r="AA196" s="103"/>
    </row>
    <row r="197" spans="5:27" s="15" customFormat="1" ht="13.2">
      <c r="E197" s="16"/>
      <c r="F197" s="17"/>
      <c r="G197" s="104"/>
      <c r="H197" s="19"/>
      <c r="I197" s="105"/>
      <c r="J197" s="106"/>
      <c r="K197" s="17"/>
      <c r="L197" s="17"/>
      <c r="AA197" s="103"/>
    </row>
    <row r="198" spans="5:27" s="15" customFormat="1" ht="13.2">
      <c r="E198" s="16"/>
      <c r="F198" s="17"/>
      <c r="G198" s="104"/>
      <c r="H198" s="19"/>
      <c r="I198" s="105"/>
      <c r="J198" s="106"/>
      <c r="K198" s="17"/>
      <c r="L198" s="17"/>
      <c r="AA198" s="103"/>
    </row>
    <row r="199" spans="5:27" s="15" customFormat="1" ht="13.2">
      <c r="E199" s="16"/>
      <c r="F199" s="17"/>
      <c r="G199" s="104"/>
      <c r="H199" s="19"/>
      <c r="I199" s="105"/>
      <c r="J199" s="106"/>
      <c r="K199" s="17"/>
      <c r="L199" s="17"/>
      <c r="AA199" s="103"/>
    </row>
    <row r="200" spans="5:27" s="15" customFormat="1" ht="13.2">
      <c r="E200" s="16"/>
      <c r="F200" s="17"/>
      <c r="G200" s="104"/>
      <c r="H200" s="19"/>
      <c r="I200" s="105"/>
      <c r="J200" s="106"/>
      <c r="K200" s="17"/>
      <c r="L200" s="17"/>
      <c r="AA200" s="103"/>
    </row>
    <row r="201" spans="5:27" s="15" customFormat="1" ht="13.2">
      <c r="E201" s="16"/>
      <c r="F201" s="17"/>
      <c r="G201" s="104"/>
      <c r="H201" s="19"/>
      <c r="I201" s="105"/>
      <c r="J201" s="106"/>
      <c r="K201" s="17"/>
      <c r="L201" s="17"/>
      <c r="AA201" s="103"/>
    </row>
    <row r="202" spans="5:27" s="15" customFormat="1" ht="13.2">
      <c r="E202" s="16"/>
      <c r="F202" s="17"/>
      <c r="G202" s="104"/>
      <c r="H202" s="19"/>
      <c r="I202" s="105"/>
      <c r="J202" s="106"/>
      <c r="K202" s="17"/>
      <c r="L202" s="17"/>
      <c r="AA202" s="103"/>
    </row>
    <row r="203" spans="5:27" s="15" customFormat="1" ht="13.2">
      <c r="E203" s="16"/>
      <c r="F203" s="17"/>
      <c r="G203" s="104"/>
      <c r="H203" s="19"/>
      <c r="I203" s="105"/>
      <c r="J203" s="106"/>
      <c r="K203" s="17"/>
      <c r="L203" s="17"/>
      <c r="AA203" s="103"/>
    </row>
    <row r="204" spans="5:27" s="15" customFormat="1" ht="13.2">
      <c r="E204" s="16"/>
      <c r="F204" s="17"/>
      <c r="G204" s="104"/>
      <c r="H204" s="19"/>
      <c r="I204" s="105"/>
      <c r="J204" s="106"/>
      <c r="K204" s="17"/>
      <c r="L204" s="17"/>
      <c r="AA204" s="103"/>
    </row>
    <row r="205" spans="5:27" s="15" customFormat="1" ht="13.2">
      <c r="E205" s="16"/>
      <c r="F205" s="17"/>
      <c r="G205" s="104"/>
      <c r="H205" s="19"/>
      <c r="I205" s="105"/>
      <c r="J205" s="106"/>
      <c r="K205" s="17"/>
      <c r="L205" s="17"/>
      <c r="AA205" s="103"/>
    </row>
    <row r="206" spans="5:27" s="15" customFormat="1" ht="13.2">
      <c r="E206" s="16"/>
      <c r="F206" s="17"/>
      <c r="G206" s="104"/>
      <c r="H206" s="19"/>
      <c r="I206" s="105"/>
      <c r="J206" s="106"/>
      <c r="K206" s="17"/>
      <c r="L206" s="17"/>
      <c r="AA206" s="103"/>
    </row>
    <row r="207" spans="5:27" s="15" customFormat="1" ht="13.2">
      <c r="E207" s="16"/>
      <c r="F207" s="17"/>
      <c r="G207" s="104"/>
      <c r="H207" s="19"/>
      <c r="I207" s="105"/>
      <c r="J207" s="106"/>
      <c r="K207" s="17"/>
      <c r="L207" s="17"/>
      <c r="AA207" s="103"/>
    </row>
    <row r="208" spans="5:27" s="15" customFormat="1" ht="13.2">
      <c r="E208" s="16"/>
      <c r="F208" s="17"/>
      <c r="G208" s="104"/>
      <c r="H208" s="19"/>
      <c r="I208" s="105"/>
      <c r="J208" s="106"/>
      <c r="K208" s="17"/>
      <c r="L208" s="17"/>
      <c r="AA208" s="103"/>
    </row>
    <row r="209" spans="5:27" s="15" customFormat="1" ht="13.2">
      <c r="E209" s="16"/>
      <c r="F209" s="17"/>
      <c r="G209" s="104"/>
      <c r="H209" s="19"/>
      <c r="I209" s="105"/>
      <c r="J209" s="106"/>
      <c r="K209" s="17"/>
      <c r="L209" s="17"/>
      <c r="AA209" s="103"/>
    </row>
    <row r="210" spans="5:27" s="15" customFormat="1" ht="13.2">
      <c r="E210" s="16"/>
      <c r="F210" s="17"/>
      <c r="G210" s="104"/>
      <c r="H210" s="19"/>
      <c r="I210" s="105"/>
      <c r="J210" s="106"/>
      <c r="K210" s="17"/>
      <c r="L210" s="17"/>
      <c r="AA210" s="103"/>
    </row>
    <row r="211" spans="5:27" s="15" customFormat="1" ht="13.2">
      <c r="E211" s="16"/>
      <c r="F211" s="17"/>
      <c r="G211" s="104"/>
      <c r="H211" s="19"/>
      <c r="I211" s="105"/>
      <c r="J211" s="106"/>
      <c r="K211" s="17"/>
      <c r="L211" s="17"/>
      <c r="AA211" s="103"/>
    </row>
    <row r="212" spans="5:27" s="15" customFormat="1" ht="13.2">
      <c r="E212" s="16"/>
      <c r="F212" s="17"/>
      <c r="G212" s="104"/>
      <c r="H212" s="19"/>
      <c r="I212" s="105"/>
      <c r="J212" s="106"/>
      <c r="K212" s="17"/>
      <c r="L212" s="17"/>
      <c r="AA212" s="103"/>
    </row>
    <row r="213" spans="5:27" s="15" customFormat="1" ht="13.2">
      <c r="E213" s="16"/>
      <c r="F213" s="17"/>
      <c r="G213" s="104"/>
      <c r="H213" s="19"/>
      <c r="I213" s="105"/>
      <c r="J213" s="106"/>
      <c r="K213" s="17"/>
      <c r="L213" s="17"/>
      <c r="AA213" s="103"/>
    </row>
    <row r="214" spans="5:27" s="15" customFormat="1" ht="13.2">
      <c r="E214" s="16"/>
      <c r="F214" s="17"/>
      <c r="G214" s="104"/>
      <c r="H214" s="19"/>
      <c r="I214" s="105"/>
      <c r="J214" s="106"/>
      <c r="K214" s="17"/>
      <c r="L214" s="17"/>
      <c r="AA214" s="103"/>
    </row>
    <row r="215" spans="5:27" s="15" customFormat="1" ht="13.2">
      <c r="E215" s="16"/>
      <c r="F215" s="17"/>
      <c r="G215" s="104"/>
      <c r="H215" s="19"/>
      <c r="I215" s="105"/>
      <c r="J215" s="106"/>
      <c r="K215" s="17"/>
      <c r="L215" s="17"/>
      <c r="AA215" s="103"/>
    </row>
    <row r="216" spans="5:27" s="15" customFormat="1" ht="13.2">
      <c r="E216" s="16"/>
      <c r="F216" s="17"/>
      <c r="G216" s="104"/>
      <c r="H216" s="19"/>
      <c r="I216" s="105"/>
      <c r="J216" s="106"/>
      <c r="K216" s="17"/>
      <c r="L216" s="17"/>
      <c r="AA216" s="103"/>
    </row>
    <row r="217" spans="5:27" s="15" customFormat="1" ht="13.2">
      <c r="E217" s="16"/>
      <c r="F217" s="17"/>
      <c r="G217" s="104"/>
      <c r="H217" s="19"/>
      <c r="I217" s="105"/>
      <c r="J217" s="106"/>
      <c r="K217" s="17"/>
      <c r="L217" s="17"/>
      <c r="AA217" s="103"/>
    </row>
    <row r="218" spans="5:27" s="15" customFormat="1" ht="13.2">
      <c r="E218" s="16"/>
      <c r="F218" s="17"/>
      <c r="G218" s="104"/>
      <c r="H218" s="19"/>
      <c r="I218" s="105"/>
      <c r="J218" s="106"/>
      <c r="K218" s="17"/>
      <c r="L218" s="17"/>
      <c r="AA218" s="103"/>
    </row>
    <row r="219" spans="5:27" s="15" customFormat="1" ht="13.2">
      <c r="E219" s="16"/>
      <c r="F219" s="17"/>
      <c r="G219" s="104"/>
      <c r="H219" s="19"/>
      <c r="I219" s="105"/>
      <c r="J219" s="106"/>
      <c r="K219" s="17"/>
      <c r="L219" s="17"/>
      <c r="AA219" s="103"/>
    </row>
    <row r="220" spans="5:27" s="15" customFormat="1" ht="13.2">
      <c r="E220" s="16"/>
      <c r="F220" s="17"/>
      <c r="G220" s="104"/>
      <c r="H220" s="19"/>
      <c r="I220" s="105"/>
      <c r="J220" s="106"/>
      <c r="K220" s="17"/>
      <c r="L220" s="17"/>
      <c r="AA220" s="103"/>
    </row>
    <row r="221" spans="5:27" s="15" customFormat="1" ht="13.2">
      <c r="E221" s="16"/>
      <c r="F221" s="17"/>
      <c r="G221" s="104"/>
      <c r="H221" s="19"/>
      <c r="I221" s="105"/>
      <c r="J221" s="106"/>
      <c r="K221" s="17"/>
      <c r="L221" s="17"/>
      <c r="AA221" s="103"/>
    </row>
    <row r="222" spans="5:27" s="15" customFormat="1" ht="13.2">
      <c r="E222" s="16"/>
      <c r="F222" s="17"/>
      <c r="G222" s="104"/>
      <c r="H222" s="19"/>
      <c r="I222" s="105"/>
      <c r="J222" s="106"/>
      <c r="K222" s="17"/>
      <c r="L222" s="17"/>
      <c r="AA222" s="103"/>
    </row>
    <row r="223" spans="5:27" s="15" customFormat="1" ht="13.2">
      <c r="E223" s="16"/>
      <c r="F223" s="17"/>
      <c r="G223" s="104"/>
      <c r="H223" s="19"/>
      <c r="I223" s="105"/>
      <c r="J223" s="106"/>
      <c r="K223" s="17"/>
      <c r="L223" s="17"/>
      <c r="AA223" s="103"/>
    </row>
    <row r="224" spans="5:27" s="15" customFormat="1" ht="13.2">
      <c r="E224" s="16"/>
      <c r="F224" s="17"/>
      <c r="G224" s="104"/>
      <c r="H224" s="19"/>
      <c r="I224" s="105"/>
      <c r="J224" s="106"/>
      <c r="K224" s="17"/>
      <c r="L224" s="17"/>
      <c r="AA224" s="103"/>
    </row>
    <row r="225" spans="5:27" s="15" customFormat="1" ht="13.2">
      <c r="E225" s="16"/>
      <c r="F225" s="17"/>
      <c r="G225" s="104"/>
      <c r="H225" s="19"/>
      <c r="I225" s="105"/>
      <c r="J225" s="106"/>
      <c r="K225" s="17"/>
      <c r="L225" s="17"/>
      <c r="AA225" s="103"/>
    </row>
    <row r="226" spans="5:27" s="15" customFormat="1" ht="13.2">
      <c r="E226" s="16"/>
      <c r="F226" s="17"/>
      <c r="G226" s="104"/>
      <c r="H226" s="19"/>
      <c r="I226" s="105"/>
      <c r="J226" s="106"/>
      <c r="K226" s="17"/>
      <c r="L226" s="17"/>
      <c r="AA226" s="103"/>
    </row>
    <row r="227" spans="5:27" s="15" customFormat="1" ht="13.2">
      <c r="E227" s="16"/>
      <c r="F227" s="17"/>
      <c r="G227" s="104"/>
      <c r="H227" s="19"/>
      <c r="I227" s="105"/>
      <c r="J227" s="106"/>
      <c r="K227" s="17"/>
      <c r="L227" s="17"/>
      <c r="AA227" s="103"/>
    </row>
    <row r="228" spans="5:27" s="15" customFormat="1" ht="13.2">
      <c r="E228" s="16"/>
      <c r="F228" s="17"/>
      <c r="G228" s="104"/>
      <c r="H228" s="19"/>
      <c r="I228" s="105"/>
      <c r="J228" s="106"/>
      <c r="K228" s="17"/>
      <c r="L228" s="17"/>
      <c r="AA228" s="103"/>
    </row>
    <row r="229" spans="5:27" s="15" customFormat="1" ht="13.2">
      <c r="E229" s="16"/>
      <c r="F229" s="17"/>
      <c r="G229" s="104"/>
      <c r="H229" s="19"/>
      <c r="I229" s="105"/>
      <c r="J229" s="106"/>
      <c r="K229" s="17"/>
      <c r="L229" s="17"/>
      <c r="AA229" s="103"/>
    </row>
    <row r="230" spans="5:27" s="15" customFormat="1" ht="13.2">
      <c r="E230" s="16"/>
      <c r="F230" s="17"/>
      <c r="G230" s="104"/>
      <c r="H230" s="19"/>
      <c r="I230" s="105"/>
      <c r="J230" s="106"/>
      <c r="K230" s="17"/>
      <c r="L230" s="17"/>
      <c r="AA230" s="103"/>
    </row>
    <row r="231" spans="5:27" s="15" customFormat="1" ht="13.2">
      <c r="E231" s="16"/>
      <c r="F231" s="17"/>
      <c r="G231" s="104"/>
      <c r="H231" s="19"/>
      <c r="I231" s="105"/>
      <c r="J231" s="106"/>
      <c r="K231" s="17"/>
      <c r="L231" s="17"/>
      <c r="AA231" s="103"/>
    </row>
    <row r="232" spans="5:27" s="15" customFormat="1" ht="13.2">
      <c r="E232" s="16"/>
      <c r="F232" s="17"/>
      <c r="G232" s="104"/>
      <c r="H232" s="19"/>
      <c r="I232" s="105"/>
      <c r="J232" s="106"/>
      <c r="K232" s="17"/>
      <c r="L232" s="17"/>
      <c r="AA232" s="103"/>
    </row>
    <row r="233" spans="5:27" s="15" customFormat="1" ht="13.2">
      <c r="E233" s="16"/>
      <c r="F233" s="17"/>
      <c r="G233" s="104"/>
      <c r="H233" s="19"/>
      <c r="I233" s="105"/>
      <c r="J233" s="106"/>
      <c r="K233" s="17"/>
      <c r="L233" s="17"/>
      <c r="AA233" s="103"/>
    </row>
    <row r="234" spans="5:27" s="15" customFormat="1" ht="13.2">
      <c r="E234" s="16"/>
      <c r="F234" s="17"/>
      <c r="G234" s="104"/>
      <c r="H234" s="19"/>
      <c r="I234" s="105"/>
      <c r="J234" s="106"/>
      <c r="K234" s="17"/>
      <c r="L234" s="17"/>
      <c r="AA234" s="103"/>
    </row>
    <row r="235" spans="5:27" s="15" customFormat="1" ht="13.2">
      <c r="E235" s="16"/>
      <c r="F235" s="17"/>
      <c r="G235" s="104"/>
      <c r="H235" s="19"/>
      <c r="I235" s="105"/>
      <c r="J235" s="106"/>
      <c r="K235" s="17"/>
      <c r="L235" s="17"/>
      <c r="AA235" s="103"/>
    </row>
    <row r="236" spans="5:27" s="15" customFormat="1" ht="13.2">
      <c r="E236" s="16"/>
      <c r="F236" s="17"/>
      <c r="G236" s="104"/>
      <c r="H236" s="19"/>
      <c r="I236" s="105"/>
      <c r="J236" s="106"/>
      <c r="K236" s="17"/>
      <c r="L236" s="17"/>
      <c r="AA236" s="103"/>
    </row>
    <row r="237" spans="5:27" s="15" customFormat="1" ht="13.2">
      <c r="E237" s="16"/>
      <c r="F237" s="17"/>
      <c r="G237" s="104"/>
      <c r="H237" s="19"/>
      <c r="I237" s="105"/>
      <c r="J237" s="106"/>
      <c r="K237" s="17"/>
      <c r="L237" s="17"/>
      <c r="AA237" s="103"/>
    </row>
    <row r="238" spans="5:27" s="15" customFormat="1" ht="13.2">
      <c r="E238" s="16"/>
      <c r="F238" s="17"/>
      <c r="G238" s="104"/>
      <c r="H238" s="19"/>
      <c r="I238" s="105"/>
      <c r="J238" s="106"/>
      <c r="K238" s="17"/>
      <c r="L238" s="17"/>
      <c r="AA238" s="103"/>
    </row>
    <row r="239" spans="5:27" s="15" customFormat="1" ht="13.2">
      <c r="E239" s="16"/>
      <c r="F239" s="17"/>
      <c r="G239" s="104"/>
      <c r="H239" s="19"/>
      <c r="I239" s="105"/>
      <c r="J239" s="106"/>
      <c r="K239" s="17"/>
      <c r="L239" s="17"/>
      <c r="AA239" s="103"/>
    </row>
    <row r="240" spans="5:27" s="15" customFormat="1" ht="13.2">
      <c r="E240" s="16"/>
      <c r="F240" s="17"/>
      <c r="G240" s="104"/>
      <c r="H240" s="19"/>
      <c r="I240" s="105"/>
      <c r="J240" s="106"/>
      <c r="K240" s="17"/>
      <c r="L240" s="17"/>
      <c r="AA240" s="103"/>
    </row>
    <row r="241" spans="5:27" s="15" customFormat="1" ht="13.2">
      <c r="E241" s="16"/>
      <c r="F241" s="17"/>
      <c r="G241" s="104"/>
      <c r="H241" s="19"/>
      <c r="I241" s="105"/>
      <c r="J241" s="106"/>
      <c r="K241" s="17"/>
      <c r="L241" s="17"/>
      <c r="AA241" s="103"/>
    </row>
    <row r="242" spans="5:27" s="15" customFormat="1" ht="13.2">
      <c r="E242" s="16"/>
      <c r="F242" s="17"/>
      <c r="G242" s="104"/>
      <c r="H242" s="19"/>
      <c r="I242" s="105"/>
      <c r="J242" s="106"/>
      <c r="K242" s="17"/>
      <c r="L242" s="17"/>
      <c r="AA242" s="103"/>
    </row>
    <row r="243" spans="5:27" s="15" customFormat="1" ht="13.2">
      <c r="E243" s="16"/>
      <c r="F243" s="17"/>
      <c r="G243" s="104"/>
      <c r="H243" s="19"/>
      <c r="I243" s="105"/>
      <c r="J243" s="106"/>
      <c r="K243" s="17"/>
      <c r="L243" s="17"/>
      <c r="AA243" s="103"/>
    </row>
    <row r="244" spans="5:27" s="15" customFormat="1" ht="13.2">
      <c r="E244" s="16"/>
      <c r="F244" s="17"/>
      <c r="G244" s="104"/>
      <c r="H244" s="19"/>
      <c r="I244" s="105"/>
      <c r="J244" s="106"/>
      <c r="K244" s="17"/>
      <c r="L244" s="17"/>
      <c r="AA244" s="103"/>
    </row>
    <row r="245" spans="5:27" s="15" customFormat="1" ht="13.2">
      <c r="E245" s="16"/>
      <c r="F245" s="17"/>
      <c r="G245" s="104"/>
      <c r="H245" s="19"/>
      <c r="I245" s="105"/>
      <c r="J245" s="106"/>
      <c r="K245" s="17"/>
      <c r="L245" s="17"/>
      <c r="AA245" s="103"/>
    </row>
    <row r="246" spans="5:27" s="15" customFormat="1" ht="13.2">
      <c r="E246" s="16"/>
      <c r="F246" s="17"/>
      <c r="G246" s="104"/>
      <c r="H246" s="19"/>
      <c r="I246" s="105"/>
      <c r="J246" s="106"/>
      <c r="K246" s="17"/>
      <c r="L246" s="17"/>
      <c r="AA246" s="103"/>
    </row>
    <row r="247" spans="5:27" s="15" customFormat="1" ht="13.2">
      <c r="E247" s="16"/>
      <c r="F247" s="17"/>
      <c r="G247" s="104"/>
      <c r="H247" s="19"/>
      <c r="I247" s="105"/>
      <c r="J247" s="106"/>
      <c r="K247" s="17"/>
      <c r="L247" s="17"/>
      <c r="AA247" s="103"/>
    </row>
    <row r="248" spans="5:27" s="15" customFormat="1" ht="13.2">
      <c r="E248" s="16"/>
      <c r="F248" s="17"/>
      <c r="G248" s="104"/>
      <c r="H248" s="19"/>
      <c r="I248" s="105"/>
      <c r="J248" s="106"/>
      <c r="K248" s="17"/>
      <c r="L248" s="17"/>
      <c r="AA248" s="103"/>
    </row>
    <row r="249" spans="5:27" s="15" customFormat="1" ht="13.2">
      <c r="E249" s="16"/>
      <c r="F249" s="17"/>
      <c r="G249" s="104"/>
      <c r="H249" s="19"/>
      <c r="I249" s="105"/>
      <c r="J249" s="106"/>
      <c r="K249" s="17"/>
      <c r="L249" s="17"/>
      <c r="AA249" s="103"/>
    </row>
    <row r="250" spans="5:27" s="15" customFormat="1" ht="13.2">
      <c r="E250" s="16"/>
      <c r="F250" s="17"/>
      <c r="G250" s="104"/>
      <c r="H250" s="19"/>
      <c r="I250" s="105"/>
      <c r="J250" s="106"/>
      <c r="K250" s="17"/>
      <c r="L250" s="17"/>
      <c r="AA250" s="103"/>
    </row>
    <row r="251" spans="5:27" s="15" customFormat="1" ht="13.2">
      <c r="E251" s="16"/>
      <c r="F251" s="17"/>
      <c r="G251" s="104"/>
      <c r="H251" s="19"/>
      <c r="I251" s="105"/>
      <c r="J251" s="106"/>
      <c r="K251" s="17"/>
      <c r="L251" s="17"/>
      <c r="AA251" s="103"/>
    </row>
    <row r="252" spans="5:27" s="15" customFormat="1" ht="13.2">
      <c r="E252" s="16"/>
      <c r="F252" s="17"/>
      <c r="G252" s="104"/>
      <c r="H252" s="19"/>
      <c r="I252" s="105"/>
      <c r="J252" s="106"/>
      <c r="K252" s="17"/>
      <c r="L252" s="17"/>
      <c r="AA252" s="103"/>
    </row>
    <row r="253" spans="5:27" s="15" customFormat="1" ht="13.2">
      <c r="E253" s="16"/>
      <c r="F253" s="17"/>
      <c r="G253" s="104"/>
      <c r="H253" s="19"/>
      <c r="I253" s="105"/>
      <c r="J253" s="106"/>
      <c r="K253" s="17"/>
      <c r="L253" s="17"/>
      <c r="AA253" s="103"/>
    </row>
    <row r="254" spans="5:27" s="15" customFormat="1" ht="13.2">
      <c r="E254" s="16"/>
      <c r="F254" s="17"/>
      <c r="G254" s="104"/>
      <c r="H254" s="19"/>
      <c r="I254" s="105"/>
      <c r="J254" s="106"/>
      <c r="K254" s="17"/>
      <c r="L254" s="17"/>
      <c r="AA254" s="103"/>
    </row>
    <row r="255" spans="5:27" s="15" customFormat="1" ht="13.2">
      <c r="E255" s="16"/>
      <c r="F255" s="17"/>
      <c r="G255" s="104"/>
      <c r="H255" s="19"/>
      <c r="I255" s="105"/>
      <c r="J255" s="106"/>
      <c r="K255" s="17"/>
      <c r="L255" s="17"/>
      <c r="AA255" s="103"/>
    </row>
    <row r="256" spans="5:27" s="15" customFormat="1" ht="13.2">
      <c r="E256" s="16"/>
      <c r="F256" s="17"/>
      <c r="G256" s="104"/>
      <c r="H256" s="19"/>
      <c r="I256" s="105"/>
      <c r="J256" s="106"/>
      <c r="K256" s="17"/>
      <c r="L256" s="17"/>
      <c r="AA256" s="103"/>
    </row>
    <row r="257" spans="5:27" s="15" customFormat="1" ht="13.2">
      <c r="E257" s="16"/>
      <c r="F257" s="17"/>
      <c r="G257" s="104"/>
      <c r="H257" s="19"/>
      <c r="I257" s="105"/>
      <c r="J257" s="106"/>
      <c r="K257" s="17"/>
      <c r="L257" s="17"/>
      <c r="AA257" s="103"/>
    </row>
    <row r="258" spans="5:27" s="15" customFormat="1" ht="13.2">
      <c r="E258" s="16"/>
      <c r="F258" s="17"/>
      <c r="G258" s="104"/>
      <c r="H258" s="19"/>
      <c r="I258" s="105"/>
      <c r="J258" s="106"/>
      <c r="K258" s="17"/>
      <c r="L258" s="17"/>
      <c r="AA258" s="103"/>
    </row>
    <row r="259" spans="5:27" s="15" customFormat="1" ht="13.2">
      <c r="E259" s="16"/>
      <c r="F259" s="17"/>
      <c r="G259" s="104"/>
      <c r="H259" s="19"/>
      <c r="I259" s="105"/>
      <c r="J259" s="106"/>
      <c r="K259" s="17"/>
      <c r="L259" s="17"/>
      <c r="AA259" s="103"/>
    </row>
    <row r="260" spans="5:27" s="15" customFormat="1" ht="13.2">
      <c r="E260" s="16"/>
      <c r="F260" s="17"/>
      <c r="G260" s="104"/>
      <c r="H260" s="19"/>
      <c r="I260" s="105"/>
      <c r="J260" s="106"/>
      <c r="K260" s="17"/>
      <c r="L260" s="17"/>
      <c r="AA260" s="103"/>
    </row>
    <row r="261" spans="5:27" s="15" customFormat="1" ht="13.2">
      <c r="E261" s="16"/>
      <c r="F261" s="17"/>
      <c r="G261" s="104"/>
      <c r="H261" s="19"/>
      <c r="I261" s="105"/>
      <c r="J261" s="106"/>
      <c r="K261" s="17"/>
      <c r="L261" s="17"/>
      <c r="AA261" s="103"/>
    </row>
    <row r="262" spans="5:27" s="15" customFormat="1" ht="13.2">
      <c r="E262" s="16"/>
      <c r="F262" s="17"/>
      <c r="G262" s="104"/>
      <c r="H262" s="19"/>
      <c r="I262" s="105"/>
      <c r="J262" s="106"/>
      <c r="K262" s="17"/>
      <c r="L262" s="17"/>
      <c r="AA262" s="103"/>
    </row>
    <row r="263" spans="5:27" s="15" customFormat="1" ht="13.2">
      <c r="E263" s="16"/>
      <c r="F263" s="17"/>
      <c r="G263" s="104"/>
      <c r="H263" s="19"/>
      <c r="I263" s="105"/>
      <c r="J263" s="106"/>
      <c r="K263" s="17"/>
      <c r="L263" s="17"/>
      <c r="AA263" s="103"/>
    </row>
    <row r="264" spans="5:27" s="15" customFormat="1" ht="13.2">
      <c r="E264" s="16"/>
      <c r="F264" s="17"/>
      <c r="G264" s="104"/>
      <c r="H264" s="19"/>
      <c r="I264" s="105"/>
      <c r="J264" s="106"/>
      <c r="K264" s="17"/>
      <c r="L264" s="17"/>
      <c r="AA264" s="103"/>
    </row>
    <row r="265" spans="5:27" s="15" customFormat="1" ht="13.2">
      <c r="E265" s="16"/>
      <c r="F265" s="17"/>
      <c r="G265" s="104"/>
      <c r="H265" s="19"/>
      <c r="I265" s="105"/>
      <c r="J265" s="106"/>
      <c r="K265" s="17"/>
      <c r="L265" s="17"/>
      <c r="AA265" s="103"/>
    </row>
    <row r="266" spans="5:27" s="15" customFormat="1" ht="13.2">
      <c r="E266" s="16"/>
      <c r="F266" s="17"/>
      <c r="G266" s="104"/>
      <c r="H266" s="19"/>
      <c r="I266" s="105"/>
      <c r="J266" s="106"/>
      <c r="K266" s="17"/>
      <c r="L266" s="17"/>
      <c r="AA266" s="103"/>
    </row>
    <row r="267" spans="5:27" s="15" customFormat="1" ht="13.2">
      <c r="E267" s="16"/>
      <c r="F267" s="17"/>
      <c r="G267" s="104"/>
      <c r="H267" s="19"/>
      <c r="I267" s="105"/>
      <c r="J267" s="106"/>
      <c r="K267" s="17"/>
      <c r="L267" s="17"/>
      <c r="AA267" s="103"/>
    </row>
    <row r="268" spans="5:27" s="15" customFormat="1" ht="13.2">
      <c r="E268" s="16"/>
      <c r="F268" s="17"/>
      <c r="G268" s="104"/>
      <c r="H268" s="19"/>
      <c r="I268" s="105"/>
      <c r="J268" s="106"/>
      <c r="K268" s="17"/>
      <c r="L268" s="17"/>
      <c r="AA268" s="103"/>
    </row>
    <row r="269" spans="5:27" s="15" customFormat="1" ht="13.2">
      <c r="E269" s="16"/>
      <c r="F269" s="17"/>
      <c r="G269" s="104"/>
      <c r="H269" s="19"/>
      <c r="I269" s="105"/>
      <c r="J269" s="106"/>
      <c r="K269" s="17"/>
      <c r="L269" s="17"/>
      <c r="AA269" s="103"/>
    </row>
    <row r="270" spans="5:27" s="15" customFormat="1" ht="13.2">
      <c r="E270" s="16"/>
      <c r="F270" s="17"/>
      <c r="G270" s="104"/>
      <c r="H270" s="19"/>
      <c r="I270" s="105"/>
      <c r="J270" s="106"/>
      <c r="K270" s="17"/>
      <c r="L270" s="17"/>
      <c r="AA270" s="103"/>
    </row>
    <row r="271" spans="5:27" s="15" customFormat="1" ht="13.2">
      <c r="E271" s="16"/>
      <c r="F271" s="17"/>
      <c r="G271" s="104"/>
      <c r="H271" s="19"/>
      <c r="I271" s="105"/>
      <c r="J271" s="106"/>
      <c r="K271" s="17"/>
      <c r="L271" s="17"/>
      <c r="AA271" s="103"/>
    </row>
    <row r="272" spans="5:27" s="15" customFormat="1" ht="13.2">
      <c r="E272" s="16"/>
      <c r="F272" s="17"/>
      <c r="G272" s="104"/>
      <c r="H272" s="19"/>
      <c r="I272" s="105"/>
      <c r="J272" s="106"/>
      <c r="K272" s="17"/>
      <c r="L272" s="17"/>
      <c r="AA272" s="103"/>
    </row>
    <row r="273" spans="5:7" ht="13.2">
      <c r="E273" s="16"/>
      <c r="F273" s="17"/>
      <c r="G273" s="104"/>
    </row>
    <row r="274" spans="5:7" ht="13.2">
      <c r="E274" s="16"/>
      <c r="F274" s="17"/>
      <c r="G274" s="104"/>
    </row>
    <row r="275" spans="5:7" ht="13.2">
      <c r="E275" s="16"/>
      <c r="F275" s="17"/>
      <c r="G275" s="104"/>
    </row>
    <row r="276" spans="5:7" ht="13.2">
      <c r="E276" s="16"/>
      <c r="F276" s="17"/>
      <c r="G276" s="104"/>
    </row>
    <row r="277" spans="5:7" ht="13.2">
      <c r="E277" s="16"/>
      <c r="F277" s="17"/>
      <c r="G277" s="104"/>
    </row>
    <row r="278" spans="5:7" ht="13.2">
      <c r="E278" s="16"/>
      <c r="F278" s="17"/>
      <c r="G278" s="104"/>
    </row>
    <row r="279" spans="5:7" ht="13.2">
      <c r="E279" s="16"/>
      <c r="F279" s="17"/>
      <c r="G279" s="104"/>
    </row>
    <row r="280" spans="5:7" ht="13.2">
      <c r="E280" s="16"/>
      <c r="F280" s="17"/>
      <c r="G280" s="104"/>
    </row>
    <row r="281" spans="5:7" ht="13.2">
      <c r="E281" s="16"/>
      <c r="F281" s="17"/>
      <c r="G281" s="104"/>
    </row>
    <row r="282" spans="5:7" ht="13.2">
      <c r="E282" s="16"/>
      <c r="F282" s="17"/>
      <c r="G282" s="104"/>
    </row>
    <row r="283" spans="5:7" ht="13.2">
      <c r="E283" s="16"/>
      <c r="F283" s="17"/>
      <c r="G283" s="104"/>
    </row>
    <row r="284" spans="5:7" ht="13.2">
      <c r="E284" s="16"/>
      <c r="F284" s="17"/>
      <c r="G284" s="104"/>
    </row>
    <row r="285" spans="5:7" ht="13.2">
      <c r="E285" s="16"/>
      <c r="F285" s="17"/>
      <c r="G285" s="104"/>
    </row>
    <row r="286" spans="5:7" ht="13.2">
      <c r="E286" s="16"/>
      <c r="F286" s="17"/>
      <c r="G286" s="104"/>
    </row>
    <row r="287" spans="5:7" ht="13.2">
      <c r="E287" s="16"/>
      <c r="F287" s="17"/>
      <c r="G287" s="104"/>
    </row>
    <row r="288" spans="5:7" ht="13.2">
      <c r="E288" s="16"/>
      <c r="F288" s="17"/>
      <c r="G288" s="104"/>
    </row>
    <row r="289" spans="5:7" ht="13.2">
      <c r="E289" s="16"/>
      <c r="F289" s="17"/>
      <c r="G289" s="104"/>
    </row>
    <row r="290" spans="5:7" ht="13.2">
      <c r="E290" s="16"/>
      <c r="F290" s="17"/>
      <c r="G290" s="104"/>
    </row>
    <row r="291" spans="5:7" ht="13.2">
      <c r="E291" s="16"/>
      <c r="F291" s="17"/>
      <c r="G291" s="104"/>
    </row>
    <row r="292" spans="5:7" ht="13.2">
      <c r="E292" s="16"/>
      <c r="F292" s="17"/>
      <c r="G292" s="104"/>
    </row>
    <row r="293" spans="5:7" ht="13.2">
      <c r="E293" s="16"/>
      <c r="F293" s="17"/>
      <c r="G293" s="104"/>
    </row>
    <row r="294" spans="5:7" ht="13.2">
      <c r="E294" s="16"/>
      <c r="F294" s="17"/>
      <c r="G294" s="104"/>
    </row>
    <row r="295" spans="5:7" ht="13.2">
      <c r="E295" s="16"/>
      <c r="F295" s="17"/>
      <c r="G295" s="104"/>
    </row>
    <row r="296" spans="5:7" ht="13.2">
      <c r="E296" s="16"/>
      <c r="F296" s="17"/>
      <c r="G296" s="104"/>
    </row>
    <row r="297" spans="5:7" ht="13.2">
      <c r="E297" s="16"/>
      <c r="F297" s="17"/>
      <c r="G297" s="104"/>
    </row>
    <row r="298" spans="5:7" ht="13.2">
      <c r="E298" s="16"/>
      <c r="F298" s="17"/>
      <c r="G298" s="104"/>
    </row>
    <row r="299" spans="5:7" ht="13.2">
      <c r="E299" s="16"/>
      <c r="F299" s="17"/>
      <c r="G299" s="104"/>
    </row>
    <row r="300" spans="5:7" ht="13.2">
      <c r="E300" s="16"/>
      <c r="F300" s="17"/>
      <c r="G300" s="104"/>
    </row>
    <row r="301" spans="5:7" ht="13.2">
      <c r="E301" s="16"/>
      <c r="F301" s="17"/>
      <c r="G301" s="104"/>
    </row>
    <row r="302" spans="5:7" ht="13.2">
      <c r="E302" s="16"/>
      <c r="F302" s="17"/>
      <c r="G302" s="104"/>
    </row>
    <row r="303" spans="5:7" ht="13.2">
      <c r="E303" s="16"/>
      <c r="F303" s="17"/>
      <c r="G303" s="104"/>
    </row>
    <row r="304" spans="5:7" ht="13.2">
      <c r="E304" s="16"/>
      <c r="F304" s="17"/>
      <c r="G304" s="104"/>
    </row>
    <row r="305" spans="5:7" ht="13.2">
      <c r="E305" s="16"/>
      <c r="F305" s="17"/>
      <c r="G305" s="104"/>
    </row>
    <row r="306" spans="5:7" ht="13.2">
      <c r="E306" s="16"/>
      <c r="F306" s="17"/>
      <c r="G306" s="104"/>
    </row>
    <row r="307" spans="5:7" ht="13.2">
      <c r="E307" s="16"/>
      <c r="F307" s="17"/>
      <c r="G307" s="104"/>
    </row>
    <row r="308" spans="5:7" ht="13.2">
      <c r="E308" s="16"/>
      <c r="F308" s="17"/>
      <c r="G308" s="104"/>
    </row>
    <row r="309" spans="5:7" ht="13.2">
      <c r="E309" s="16"/>
      <c r="F309" s="17"/>
      <c r="G309" s="104"/>
    </row>
    <row r="310" spans="5:7" ht="13.2">
      <c r="E310" s="16"/>
      <c r="F310" s="17"/>
      <c r="G310" s="104"/>
    </row>
    <row r="311" spans="5:7" ht="13.2">
      <c r="E311" s="16"/>
      <c r="F311" s="17"/>
      <c r="G311" s="104"/>
    </row>
    <row r="312" spans="5:7" ht="13.2">
      <c r="E312" s="16"/>
      <c r="F312" s="17"/>
      <c r="G312" s="104"/>
    </row>
    <row r="313" spans="5:7" ht="13.2">
      <c r="E313" s="16"/>
      <c r="F313" s="17"/>
      <c r="G313" s="104"/>
    </row>
    <row r="314" spans="5:7" ht="13.2">
      <c r="E314" s="16"/>
      <c r="F314" s="17"/>
      <c r="G314" s="104"/>
    </row>
    <row r="315" spans="5:7" ht="13.2">
      <c r="E315" s="16"/>
      <c r="F315" s="17"/>
      <c r="G315" s="104"/>
    </row>
    <row r="316" spans="5:7" ht="13.2">
      <c r="E316" s="16"/>
      <c r="F316" s="17"/>
      <c r="G316" s="104"/>
    </row>
    <row r="317" spans="5:7" ht="13.2">
      <c r="E317" s="16"/>
      <c r="F317" s="17"/>
      <c r="G317" s="104"/>
    </row>
    <row r="318" spans="5:7" ht="13.2">
      <c r="E318" s="16"/>
      <c r="F318" s="17"/>
      <c r="G318" s="104"/>
    </row>
    <row r="319" spans="5:7" ht="13.2">
      <c r="E319" s="16"/>
      <c r="F319" s="17"/>
      <c r="G319" s="104"/>
    </row>
    <row r="320" spans="5:7" ht="13.2">
      <c r="E320" s="16"/>
      <c r="F320" s="17"/>
      <c r="G320" s="104"/>
    </row>
    <row r="321" spans="5:7" ht="13.2">
      <c r="E321" s="16"/>
      <c r="F321" s="17"/>
      <c r="G321" s="104"/>
    </row>
    <row r="322" spans="5:7" ht="13.2">
      <c r="E322" s="16"/>
      <c r="F322" s="17"/>
      <c r="G322" s="104"/>
    </row>
    <row r="323" spans="5:7" ht="13.2">
      <c r="E323" s="16"/>
      <c r="F323" s="17"/>
      <c r="G323" s="104"/>
    </row>
    <row r="324" spans="5:7" ht="13.2">
      <c r="E324" s="16"/>
      <c r="F324" s="17"/>
      <c r="G324" s="104"/>
    </row>
    <row r="325" spans="5:7" ht="13.2">
      <c r="E325" s="16"/>
      <c r="F325" s="17"/>
      <c r="G325" s="104"/>
    </row>
    <row r="326" spans="5:7" ht="13.2">
      <c r="E326" s="16"/>
      <c r="F326" s="17"/>
      <c r="G326" s="104"/>
    </row>
    <row r="327" spans="5:7" ht="13.2">
      <c r="E327" s="16"/>
      <c r="F327" s="17"/>
      <c r="G327" s="104"/>
    </row>
    <row r="328" spans="5:7" ht="13.2">
      <c r="E328" s="16"/>
      <c r="F328" s="17"/>
      <c r="G328" s="104"/>
    </row>
    <row r="329" spans="5:7" ht="13.2">
      <c r="E329" s="16"/>
      <c r="F329" s="17"/>
      <c r="G329" s="104"/>
    </row>
    <row r="330" spans="5:7" ht="13.2">
      <c r="E330" s="16"/>
      <c r="F330" s="17"/>
      <c r="G330" s="104"/>
    </row>
    <row r="331" spans="5:7" ht="13.2">
      <c r="E331" s="16"/>
      <c r="F331" s="17"/>
      <c r="G331" s="104"/>
    </row>
    <row r="332" spans="5:7" ht="13.2">
      <c r="E332" s="16"/>
      <c r="F332" s="17"/>
      <c r="G332" s="104"/>
    </row>
    <row r="333" spans="5:7" ht="13.2">
      <c r="E333" s="16"/>
      <c r="F333" s="17"/>
      <c r="G333" s="104"/>
    </row>
    <row r="334" spans="5:7" ht="13.2">
      <c r="E334" s="16"/>
      <c r="F334" s="17"/>
      <c r="G334" s="104"/>
    </row>
    <row r="335" spans="5:7" ht="13.2">
      <c r="E335" s="16"/>
      <c r="F335" s="17"/>
      <c r="G335" s="104"/>
    </row>
    <row r="336" spans="5:7" ht="13.2">
      <c r="E336" s="16"/>
      <c r="F336" s="17"/>
      <c r="G336" s="104"/>
    </row>
    <row r="337" spans="5:7" ht="13.2">
      <c r="E337" s="16"/>
      <c r="F337" s="17"/>
      <c r="G337" s="104"/>
    </row>
    <row r="338" spans="5:7" ht="13.2">
      <c r="E338" s="16"/>
      <c r="F338" s="17"/>
      <c r="G338" s="104"/>
    </row>
    <row r="339" spans="5:7" ht="13.2">
      <c r="E339" s="16"/>
      <c r="F339" s="17"/>
      <c r="G339" s="104"/>
    </row>
    <row r="340" spans="5:7" ht="13.2">
      <c r="E340" s="16"/>
      <c r="F340" s="17"/>
      <c r="G340" s="104"/>
    </row>
    <row r="341" spans="5:7" ht="13.2">
      <c r="E341" s="16"/>
      <c r="F341" s="17"/>
      <c r="G341" s="104"/>
    </row>
    <row r="342" spans="5:7" ht="13.2">
      <c r="E342" s="16"/>
      <c r="F342" s="17"/>
      <c r="G342" s="104"/>
    </row>
    <row r="343" spans="5:7" ht="13.2">
      <c r="E343" s="16"/>
      <c r="F343" s="17"/>
      <c r="G343" s="104"/>
    </row>
    <row r="344" spans="5:7" ht="13.2">
      <c r="E344" s="16"/>
      <c r="F344" s="17"/>
      <c r="G344" s="104"/>
    </row>
    <row r="345" spans="5:7" ht="13.2">
      <c r="E345" s="16"/>
      <c r="F345" s="17"/>
      <c r="G345" s="104"/>
    </row>
    <row r="346" spans="5:7" ht="13.2">
      <c r="E346" s="16"/>
      <c r="F346" s="17"/>
      <c r="G346" s="104"/>
    </row>
    <row r="347" spans="5:7" ht="13.2">
      <c r="E347" s="16"/>
      <c r="F347" s="17"/>
      <c r="G347" s="104"/>
    </row>
    <row r="348" spans="5:7" ht="13.2">
      <c r="E348" s="16"/>
      <c r="F348" s="17"/>
      <c r="G348" s="104"/>
    </row>
    <row r="349" spans="5:7" ht="13.2">
      <c r="E349" s="16"/>
      <c r="F349" s="17"/>
      <c r="G349" s="104"/>
    </row>
    <row r="350" spans="5:7" ht="13.2">
      <c r="E350" s="16"/>
      <c r="F350" s="17"/>
      <c r="G350" s="104"/>
    </row>
    <row r="351" spans="5:7" ht="13.2">
      <c r="E351" s="16"/>
      <c r="F351" s="17"/>
      <c r="G351" s="104"/>
    </row>
    <row r="352" spans="5:7" ht="13.2">
      <c r="E352" s="16"/>
      <c r="F352" s="17"/>
      <c r="G352" s="104"/>
    </row>
    <row r="353" spans="5:7" ht="13.2">
      <c r="E353" s="16"/>
      <c r="F353" s="17"/>
      <c r="G353" s="104"/>
    </row>
    <row r="354" spans="5:7" ht="13.2">
      <c r="E354" s="16"/>
      <c r="F354" s="17"/>
      <c r="G354" s="104"/>
    </row>
    <row r="355" spans="5:7" ht="13.2">
      <c r="E355" s="16"/>
      <c r="F355" s="17"/>
      <c r="G355" s="104"/>
    </row>
    <row r="356" spans="5:7" ht="13.2">
      <c r="E356" s="16"/>
      <c r="F356" s="17"/>
      <c r="G356" s="104"/>
    </row>
    <row r="357" spans="5:7" ht="13.2">
      <c r="E357" s="16"/>
      <c r="F357" s="17"/>
      <c r="G357" s="104"/>
    </row>
    <row r="358" spans="5:7" ht="13.2">
      <c r="E358" s="16"/>
      <c r="F358" s="17"/>
      <c r="G358" s="104"/>
    </row>
    <row r="359" spans="5:7" ht="13.2">
      <c r="E359" s="16"/>
      <c r="F359" s="17"/>
      <c r="G359" s="104"/>
    </row>
    <row r="360" spans="5:7" ht="13.2">
      <c r="E360" s="16"/>
      <c r="F360" s="17"/>
      <c r="G360" s="104"/>
    </row>
    <row r="361" spans="5:7" ht="13.2">
      <c r="E361" s="16"/>
      <c r="F361" s="17"/>
      <c r="G361" s="104"/>
    </row>
    <row r="362" spans="5:7" ht="13.2">
      <c r="E362" s="16"/>
      <c r="F362" s="17"/>
      <c r="G362" s="104"/>
    </row>
    <row r="363" spans="5:7" ht="13.2">
      <c r="E363" s="16"/>
      <c r="F363" s="17"/>
      <c r="G363" s="104"/>
    </row>
    <row r="364" spans="5:7" ht="13.2">
      <c r="E364" s="16"/>
      <c r="F364" s="17"/>
      <c r="G364" s="104"/>
    </row>
    <row r="365" spans="5:7" ht="13.2">
      <c r="E365" s="16"/>
      <c r="F365" s="17"/>
      <c r="G365" s="104"/>
    </row>
    <row r="366" spans="5:7" ht="13.2">
      <c r="E366" s="16"/>
      <c r="F366" s="17"/>
      <c r="G366" s="104"/>
    </row>
    <row r="367" spans="5:7" ht="13.2">
      <c r="E367" s="16"/>
      <c r="F367" s="17"/>
      <c r="G367" s="104"/>
    </row>
    <row r="368" spans="5:7" ht="13.2">
      <c r="E368" s="16"/>
      <c r="F368" s="17"/>
      <c r="G368" s="104"/>
    </row>
    <row r="369" spans="5:7" ht="13.2">
      <c r="E369" s="16"/>
      <c r="F369" s="17"/>
      <c r="G369" s="104"/>
    </row>
    <row r="370" spans="5:7" ht="13.2">
      <c r="E370" s="16"/>
      <c r="F370" s="17"/>
      <c r="G370" s="104"/>
    </row>
    <row r="371" spans="5:7" ht="13.2">
      <c r="E371" s="16"/>
      <c r="F371" s="17"/>
      <c r="G371" s="104"/>
    </row>
    <row r="372" spans="5:7" ht="13.2">
      <c r="E372" s="16"/>
      <c r="F372" s="17"/>
      <c r="G372" s="104"/>
    </row>
    <row r="373" spans="5:7" ht="13.2">
      <c r="E373" s="16"/>
      <c r="F373" s="17"/>
      <c r="G373" s="104"/>
    </row>
    <row r="374" spans="5:7" ht="13.2">
      <c r="E374" s="16"/>
      <c r="F374" s="17"/>
      <c r="G374" s="104"/>
    </row>
    <row r="375" spans="5:7" ht="13.2">
      <c r="E375" s="16"/>
      <c r="F375" s="17"/>
      <c r="G375" s="104"/>
    </row>
    <row r="376" spans="5:7" ht="13.2">
      <c r="E376" s="16"/>
      <c r="F376" s="17"/>
      <c r="G376" s="104"/>
    </row>
    <row r="377" spans="5:7" ht="13.2">
      <c r="E377" s="16"/>
      <c r="F377" s="17"/>
      <c r="G377" s="104"/>
    </row>
    <row r="378" spans="5:7" ht="13.2">
      <c r="E378" s="16"/>
      <c r="F378" s="17"/>
      <c r="G378" s="104"/>
    </row>
    <row r="379" spans="5:7" ht="13.2">
      <c r="E379" s="16"/>
      <c r="F379" s="17"/>
      <c r="G379" s="104"/>
    </row>
    <row r="380" spans="5:7" ht="13.2">
      <c r="E380" s="16"/>
      <c r="F380" s="17"/>
      <c r="G380" s="104"/>
    </row>
    <row r="381" spans="5:7" ht="13.2">
      <c r="E381" s="16"/>
      <c r="F381" s="17"/>
      <c r="G381" s="104"/>
    </row>
    <row r="382" spans="5:7" ht="13.2">
      <c r="E382" s="16"/>
      <c r="F382" s="17"/>
      <c r="G382" s="104"/>
    </row>
    <row r="383" spans="5:7" ht="13.2">
      <c r="E383" s="16"/>
      <c r="F383" s="17"/>
      <c r="G383" s="104"/>
    </row>
    <row r="384" spans="5:7" ht="13.2">
      <c r="E384" s="16"/>
      <c r="F384" s="17"/>
      <c r="G384" s="104"/>
    </row>
    <row r="385" spans="5:7" ht="13.2">
      <c r="E385" s="16"/>
      <c r="F385" s="17"/>
      <c r="G385" s="104"/>
    </row>
    <row r="386" spans="5:7" ht="13.2">
      <c r="E386" s="16"/>
      <c r="F386" s="17"/>
      <c r="G386" s="104"/>
    </row>
    <row r="387" spans="5:7" ht="13.2">
      <c r="E387" s="16"/>
      <c r="F387" s="17"/>
      <c r="G387" s="104"/>
    </row>
    <row r="388" spans="5:7" ht="13.2">
      <c r="E388" s="16"/>
      <c r="F388" s="17"/>
      <c r="G388" s="104"/>
    </row>
    <row r="389" spans="5:7" ht="13.2">
      <c r="E389" s="16"/>
      <c r="F389" s="17"/>
      <c r="G389" s="104"/>
    </row>
    <row r="390" spans="5:7" ht="13.2">
      <c r="E390" s="16"/>
      <c r="F390" s="17"/>
      <c r="G390" s="104"/>
    </row>
    <row r="391" spans="5:7" ht="13.2">
      <c r="E391" s="16"/>
      <c r="F391" s="17"/>
      <c r="G391" s="104"/>
    </row>
    <row r="392" spans="5:7" ht="13.2">
      <c r="E392" s="16"/>
      <c r="F392" s="17"/>
      <c r="G392" s="104"/>
    </row>
    <row r="393" spans="5:7" ht="13.2">
      <c r="E393" s="16"/>
      <c r="F393" s="17"/>
      <c r="G393" s="104"/>
    </row>
    <row r="394" spans="5:7" ht="13.2">
      <c r="E394" s="16"/>
      <c r="F394" s="17"/>
      <c r="G394" s="104"/>
    </row>
    <row r="395" spans="5:7" ht="13.2">
      <c r="E395" s="16"/>
      <c r="F395" s="17"/>
      <c r="G395" s="104"/>
    </row>
    <row r="396" spans="5:7" ht="13.2">
      <c r="E396" s="16"/>
      <c r="F396" s="17"/>
      <c r="G396" s="104"/>
    </row>
    <row r="397" spans="5:7" ht="13.2">
      <c r="E397" s="16"/>
      <c r="F397" s="17"/>
      <c r="G397" s="104"/>
    </row>
    <row r="398" spans="5:7" ht="13.2">
      <c r="E398" s="16"/>
      <c r="F398" s="17"/>
      <c r="G398" s="104"/>
    </row>
    <row r="399" spans="5:7" ht="13.2">
      <c r="E399" s="16"/>
      <c r="F399" s="17"/>
      <c r="G399" s="104"/>
    </row>
    <row r="400" spans="5:7" ht="13.2">
      <c r="E400" s="16"/>
      <c r="F400" s="17"/>
      <c r="G400" s="104"/>
    </row>
    <row r="401" spans="5:7" ht="13.2">
      <c r="E401" s="16"/>
      <c r="F401" s="17"/>
      <c r="G401" s="104"/>
    </row>
    <row r="402" spans="5:7" ht="13.2">
      <c r="E402" s="16"/>
      <c r="F402" s="17"/>
      <c r="G402" s="104"/>
    </row>
    <row r="403" spans="5:7" ht="13.2">
      <c r="E403" s="16"/>
      <c r="F403" s="17"/>
      <c r="G403" s="104"/>
    </row>
    <row r="404" spans="5:7" ht="13.2">
      <c r="E404" s="16"/>
      <c r="F404" s="17"/>
      <c r="G404" s="104"/>
    </row>
    <row r="405" spans="5:7" ht="13.2">
      <c r="E405" s="16"/>
      <c r="F405" s="17"/>
      <c r="G405" s="104"/>
    </row>
    <row r="406" spans="5:7" ht="13.2">
      <c r="E406" s="16"/>
      <c r="F406" s="17"/>
      <c r="G406" s="104"/>
    </row>
    <row r="407" spans="5:7" ht="13.2">
      <c r="E407" s="16"/>
      <c r="F407" s="17"/>
      <c r="G407" s="104"/>
    </row>
    <row r="408" spans="5:7" ht="13.2">
      <c r="E408" s="16"/>
      <c r="F408" s="17"/>
      <c r="G408" s="104"/>
    </row>
    <row r="409" spans="5:7" ht="13.2">
      <c r="E409" s="16"/>
      <c r="F409" s="17"/>
      <c r="G409" s="104"/>
    </row>
    <row r="410" spans="5:7" ht="13.2">
      <c r="E410" s="16"/>
      <c r="F410" s="17"/>
      <c r="G410" s="104"/>
    </row>
    <row r="411" spans="5:7" ht="13.2">
      <c r="E411" s="16"/>
      <c r="F411" s="17"/>
      <c r="G411" s="104"/>
    </row>
    <row r="412" spans="5:7" ht="13.2">
      <c r="E412" s="16"/>
      <c r="F412" s="17"/>
      <c r="G412" s="104"/>
    </row>
    <row r="413" spans="5:7" ht="13.2">
      <c r="E413" s="16"/>
      <c r="F413" s="17"/>
      <c r="G413" s="104"/>
    </row>
    <row r="414" spans="5:7" ht="13.2">
      <c r="E414" s="16"/>
      <c r="F414" s="17"/>
      <c r="G414" s="104"/>
    </row>
    <row r="415" spans="5:7" ht="13.2">
      <c r="E415" s="16"/>
      <c r="F415" s="17"/>
      <c r="G415" s="104"/>
    </row>
    <row r="416" spans="5:7" ht="13.2">
      <c r="E416" s="16"/>
      <c r="F416" s="17"/>
      <c r="G416" s="104"/>
    </row>
    <row r="417" spans="5:7" ht="13.2">
      <c r="E417" s="16"/>
      <c r="F417" s="17"/>
      <c r="G417" s="104"/>
    </row>
    <row r="418" spans="5:7" ht="13.2">
      <c r="E418" s="16"/>
      <c r="F418" s="17"/>
      <c r="G418" s="104"/>
    </row>
    <row r="419" spans="5:7" ht="13.2">
      <c r="E419" s="16"/>
      <c r="F419" s="17"/>
      <c r="G419" s="104"/>
    </row>
    <row r="420" spans="5:7" ht="13.2">
      <c r="E420" s="16"/>
      <c r="F420" s="17"/>
      <c r="G420" s="104"/>
    </row>
    <row r="421" spans="5:7" ht="13.2">
      <c r="E421" s="16"/>
      <c r="F421" s="17"/>
      <c r="G421" s="104"/>
    </row>
    <row r="422" spans="5:7" ht="13.2">
      <c r="E422" s="16"/>
      <c r="F422" s="17"/>
      <c r="G422" s="104"/>
    </row>
    <row r="423" spans="5:7" ht="13.2">
      <c r="E423" s="16"/>
      <c r="F423" s="17"/>
      <c r="G423" s="104"/>
    </row>
    <row r="424" spans="5:7" ht="13.2">
      <c r="E424" s="16"/>
      <c r="F424" s="17"/>
      <c r="G424" s="104"/>
    </row>
    <row r="425" spans="5:7" ht="13.2">
      <c r="E425" s="16"/>
      <c r="F425" s="17"/>
      <c r="G425" s="104"/>
    </row>
    <row r="426" spans="5:7" ht="13.2">
      <c r="E426" s="16"/>
      <c r="F426" s="17"/>
      <c r="G426" s="104"/>
    </row>
    <row r="427" spans="5:7" ht="13.2">
      <c r="E427" s="16"/>
      <c r="F427" s="17"/>
      <c r="G427" s="104"/>
    </row>
    <row r="428" spans="5:7" ht="13.2">
      <c r="E428" s="16"/>
      <c r="F428" s="17"/>
      <c r="G428" s="104"/>
    </row>
    <row r="429" spans="5:7" ht="13.2">
      <c r="E429" s="16"/>
      <c r="F429" s="17"/>
      <c r="G429" s="104"/>
    </row>
    <row r="430" spans="5:7" ht="13.2">
      <c r="E430" s="16"/>
      <c r="F430" s="17"/>
      <c r="G430" s="104"/>
    </row>
    <row r="431" spans="5:7" ht="13.2">
      <c r="E431" s="16"/>
      <c r="F431" s="17"/>
      <c r="G431" s="104"/>
    </row>
    <row r="432" spans="5:7" ht="13.2">
      <c r="E432" s="16"/>
      <c r="F432" s="17"/>
      <c r="G432" s="104"/>
    </row>
    <row r="433" spans="5:7" ht="13.2">
      <c r="E433" s="16"/>
      <c r="F433" s="17"/>
      <c r="G433" s="104"/>
    </row>
    <row r="434" spans="5:7" ht="13.2">
      <c r="E434" s="16"/>
      <c r="F434" s="17"/>
      <c r="G434" s="104"/>
    </row>
    <row r="435" spans="5:7" ht="13.2">
      <c r="E435" s="16"/>
      <c r="F435" s="17"/>
      <c r="G435" s="104"/>
    </row>
    <row r="436" spans="5:7" ht="13.2">
      <c r="E436" s="16"/>
      <c r="F436" s="17"/>
      <c r="G436" s="104"/>
    </row>
    <row r="437" spans="5:7" ht="13.2">
      <c r="E437" s="16"/>
      <c r="F437" s="17"/>
      <c r="G437" s="104"/>
    </row>
    <row r="438" spans="5:7" ht="13.2">
      <c r="E438" s="16"/>
      <c r="F438" s="17"/>
      <c r="G438" s="104"/>
    </row>
    <row r="439" spans="5:7" ht="13.2">
      <c r="E439" s="16"/>
      <c r="F439" s="17"/>
      <c r="G439" s="104"/>
    </row>
    <row r="440" spans="5:7" ht="13.2">
      <c r="E440" s="16"/>
      <c r="F440" s="17"/>
      <c r="G440" s="104"/>
    </row>
    <row r="441" spans="5:7" ht="13.2">
      <c r="E441" s="16"/>
      <c r="F441" s="17"/>
      <c r="G441" s="104"/>
    </row>
    <row r="442" spans="5:7" ht="13.2">
      <c r="E442" s="16"/>
      <c r="F442" s="17"/>
      <c r="G442" s="104"/>
    </row>
    <row r="443" spans="5:7" ht="13.2">
      <c r="E443" s="16"/>
      <c r="F443" s="17"/>
      <c r="G443" s="104"/>
    </row>
    <row r="444" spans="5:7" ht="13.2">
      <c r="E444" s="16"/>
      <c r="F444" s="17"/>
      <c r="G444" s="104"/>
    </row>
    <row r="445" spans="5:7" ht="13.2">
      <c r="E445" s="16"/>
      <c r="F445" s="17"/>
      <c r="G445" s="104"/>
    </row>
    <row r="446" spans="5:7" ht="13.2">
      <c r="E446" s="16"/>
      <c r="F446" s="17"/>
      <c r="G446" s="104"/>
    </row>
    <row r="447" spans="5:7" ht="13.2">
      <c r="E447" s="16"/>
      <c r="F447" s="17"/>
      <c r="G447" s="104"/>
    </row>
    <row r="448" spans="5:7" ht="13.2">
      <c r="E448" s="16"/>
      <c r="F448" s="17"/>
      <c r="G448" s="104"/>
    </row>
    <row r="449" spans="5:7" ht="13.2">
      <c r="E449" s="16"/>
      <c r="F449" s="17"/>
      <c r="G449" s="104"/>
    </row>
    <row r="450" spans="5:7" ht="13.2">
      <c r="E450" s="16"/>
      <c r="F450" s="17"/>
      <c r="G450" s="104"/>
    </row>
    <row r="451" spans="5:7" ht="13.2">
      <c r="E451" s="16"/>
      <c r="F451" s="17"/>
      <c r="G451" s="104"/>
    </row>
    <row r="452" spans="5:7" ht="13.2">
      <c r="E452" s="16"/>
      <c r="F452" s="17"/>
      <c r="G452" s="104"/>
    </row>
    <row r="453" spans="5:7" ht="13.2">
      <c r="E453" s="16"/>
      <c r="F453" s="17"/>
      <c r="G453" s="104"/>
    </row>
    <row r="454" spans="5:7" ht="13.2">
      <c r="E454" s="16"/>
      <c r="F454" s="17"/>
      <c r="G454" s="104"/>
    </row>
    <row r="455" spans="5:7" ht="13.2">
      <c r="E455" s="16"/>
      <c r="F455" s="17"/>
      <c r="G455" s="104"/>
    </row>
    <row r="456" spans="5:7" ht="13.2">
      <c r="E456" s="16"/>
      <c r="F456" s="17"/>
      <c r="G456" s="104"/>
    </row>
    <row r="457" spans="5:7" ht="13.2">
      <c r="E457" s="16"/>
      <c r="F457" s="17"/>
      <c r="G457" s="104"/>
    </row>
    <row r="458" spans="5:7" ht="13.2">
      <c r="E458" s="16"/>
      <c r="F458" s="17"/>
      <c r="G458" s="104"/>
    </row>
    <row r="459" spans="5:7" ht="13.2">
      <c r="E459" s="16"/>
      <c r="F459" s="17"/>
      <c r="G459" s="104"/>
    </row>
    <row r="460" spans="5:7" ht="13.2">
      <c r="E460" s="16"/>
      <c r="F460" s="17"/>
      <c r="G460" s="104"/>
    </row>
    <row r="461" spans="5:7" ht="13.2">
      <c r="E461" s="16"/>
      <c r="F461" s="17"/>
      <c r="G461" s="104"/>
    </row>
    <row r="462" spans="5:7" ht="13.2">
      <c r="E462" s="16"/>
      <c r="F462" s="17"/>
      <c r="G462" s="104"/>
    </row>
    <row r="463" spans="5:7" ht="13.2">
      <c r="E463" s="16"/>
      <c r="F463" s="17"/>
      <c r="G463" s="104"/>
    </row>
    <row r="464" spans="5:7" ht="13.2">
      <c r="E464" s="16"/>
      <c r="F464" s="17"/>
      <c r="G464" s="104"/>
    </row>
    <row r="465" spans="5:7" ht="13.2">
      <c r="E465" s="16"/>
      <c r="F465" s="17"/>
      <c r="G465" s="104"/>
    </row>
    <row r="466" spans="5:7" ht="13.2">
      <c r="E466" s="16"/>
      <c r="F466" s="17"/>
      <c r="G466" s="104"/>
    </row>
    <row r="467" spans="5:7" ht="13.2">
      <c r="E467" s="16"/>
      <c r="F467" s="17"/>
      <c r="G467" s="104"/>
    </row>
    <row r="468" spans="5:7" ht="13.2">
      <c r="E468" s="16"/>
      <c r="F468" s="17"/>
      <c r="G468" s="104"/>
    </row>
    <row r="469" spans="5:7" ht="13.2">
      <c r="E469" s="16"/>
      <c r="F469" s="17"/>
      <c r="G469" s="104"/>
    </row>
    <row r="470" spans="5:7" ht="13.2">
      <c r="E470" s="16"/>
      <c r="F470" s="17"/>
      <c r="G470" s="104"/>
    </row>
    <row r="471" spans="5:7" ht="13.2">
      <c r="E471" s="16"/>
      <c r="F471" s="17"/>
      <c r="G471" s="104"/>
    </row>
    <row r="472" spans="5:7" ht="13.2">
      <c r="E472" s="16"/>
      <c r="F472" s="17"/>
      <c r="G472" s="104"/>
    </row>
    <row r="473" spans="5:7" ht="13.2">
      <c r="E473" s="16"/>
      <c r="F473" s="17"/>
      <c r="G473" s="104"/>
    </row>
    <row r="474" spans="5:7" ht="13.2">
      <c r="E474" s="16"/>
      <c r="F474" s="17"/>
      <c r="G474" s="104"/>
    </row>
    <row r="475" spans="5:7" ht="13.2">
      <c r="E475" s="16"/>
      <c r="F475" s="17"/>
      <c r="G475" s="104"/>
    </row>
    <row r="476" spans="5:7" ht="13.2">
      <c r="E476" s="16"/>
      <c r="F476" s="17"/>
      <c r="G476" s="104"/>
    </row>
    <row r="477" spans="5:7" ht="13.2">
      <c r="E477" s="16"/>
      <c r="F477" s="17"/>
      <c r="G477" s="104"/>
    </row>
    <row r="478" spans="5:7" ht="13.2">
      <c r="E478" s="16"/>
      <c r="F478" s="17"/>
      <c r="G478" s="104"/>
    </row>
    <row r="479" spans="5:7" ht="13.2">
      <c r="E479" s="16"/>
      <c r="F479" s="17"/>
      <c r="G479" s="104"/>
    </row>
    <row r="480" spans="5:7" ht="13.2">
      <c r="E480" s="16"/>
      <c r="F480" s="17"/>
      <c r="G480" s="104"/>
    </row>
    <row r="481" spans="5:7" ht="13.2">
      <c r="E481" s="16"/>
      <c r="F481" s="17"/>
      <c r="G481" s="104"/>
    </row>
    <row r="482" spans="5:7" ht="13.2">
      <c r="E482" s="16"/>
      <c r="F482" s="17"/>
      <c r="G482" s="104"/>
    </row>
    <row r="483" spans="5:7" ht="13.2">
      <c r="E483" s="16"/>
      <c r="F483" s="17"/>
      <c r="G483" s="104"/>
    </row>
    <row r="484" spans="5:7" ht="13.2">
      <c r="E484" s="16"/>
      <c r="F484" s="17"/>
      <c r="G484" s="104"/>
    </row>
    <row r="485" spans="5:7" ht="13.2">
      <c r="E485" s="16"/>
      <c r="F485" s="17"/>
      <c r="G485" s="104"/>
    </row>
    <row r="486" spans="5:7" ht="13.2">
      <c r="E486" s="16"/>
      <c r="F486" s="17"/>
      <c r="G486" s="104"/>
    </row>
    <row r="487" spans="5:7" ht="13.2">
      <c r="E487" s="16"/>
      <c r="F487" s="17"/>
      <c r="G487" s="104"/>
    </row>
    <row r="488" spans="5:7" ht="13.2">
      <c r="E488" s="16"/>
      <c r="F488" s="17"/>
      <c r="G488" s="104"/>
    </row>
    <row r="489" spans="5:7" ht="13.2">
      <c r="E489" s="16"/>
      <c r="F489" s="17"/>
      <c r="G489" s="104"/>
    </row>
    <row r="490" spans="5:7" ht="13.2">
      <c r="E490" s="16"/>
      <c r="F490" s="17"/>
      <c r="G490" s="104"/>
    </row>
  </sheetData>
  <mergeCells count="90">
    <mergeCell ref="B76:D76"/>
    <mergeCell ref="B77:D77"/>
    <mergeCell ref="B78:D78"/>
    <mergeCell ref="B92:D92"/>
    <mergeCell ref="B93:D93"/>
    <mergeCell ref="B62:D62"/>
    <mergeCell ref="B72:D72"/>
    <mergeCell ref="B73:D73"/>
    <mergeCell ref="B74:D74"/>
    <mergeCell ref="B75:D75"/>
    <mergeCell ref="J57:J58"/>
    <mergeCell ref="K57:K58"/>
    <mergeCell ref="L57:L58"/>
    <mergeCell ref="B59:D59"/>
    <mergeCell ref="B60:D60"/>
    <mergeCell ref="B56:D56"/>
    <mergeCell ref="B57:D58"/>
    <mergeCell ref="E57:F57"/>
    <mergeCell ref="G57:G58"/>
    <mergeCell ref="H57:I57"/>
    <mergeCell ref="B51:D51"/>
    <mergeCell ref="B52:D52"/>
    <mergeCell ref="B53:D53"/>
    <mergeCell ref="B54:D54"/>
    <mergeCell ref="B55:D55"/>
    <mergeCell ref="G49:G50"/>
    <mergeCell ref="H49:I49"/>
    <mergeCell ref="J49:J50"/>
    <mergeCell ref="K49:K50"/>
    <mergeCell ref="L49:L50"/>
    <mergeCell ref="B46:D46"/>
    <mergeCell ref="B47:D47"/>
    <mergeCell ref="B48:D48"/>
    <mergeCell ref="B49:D50"/>
    <mergeCell ref="E49:F49"/>
    <mergeCell ref="H43:I43"/>
    <mergeCell ref="J43:J44"/>
    <mergeCell ref="K43:K44"/>
    <mergeCell ref="L43:L44"/>
    <mergeCell ref="B45:D45"/>
    <mergeCell ref="B41:D41"/>
    <mergeCell ref="B42:D42"/>
    <mergeCell ref="B43:D44"/>
    <mergeCell ref="E43:F43"/>
    <mergeCell ref="G43:G44"/>
    <mergeCell ref="B36:D36"/>
    <mergeCell ref="B37:D37"/>
    <mergeCell ref="B38:D38"/>
    <mergeCell ref="B39:D39"/>
    <mergeCell ref="B40:D40"/>
    <mergeCell ref="B31:D31"/>
    <mergeCell ref="B32:D32"/>
    <mergeCell ref="B33:D33"/>
    <mergeCell ref="B34:D34"/>
    <mergeCell ref="B35:D35"/>
    <mergeCell ref="J27:J28"/>
    <mergeCell ref="K27:K28"/>
    <mergeCell ref="L27:L28"/>
    <mergeCell ref="B29:D29"/>
    <mergeCell ref="B30:D30"/>
    <mergeCell ref="B26:D26"/>
    <mergeCell ref="B27:D28"/>
    <mergeCell ref="E27:F27"/>
    <mergeCell ref="G27:G28"/>
    <mergeCell ref="H27:I27"/>
    <mergeCell ref="B21:D21"/>
    <mergeCell ref="B22:D22"/>
    <mergeCell ref="B23:D23"/>
    <mergeCell ref="B24:D24"/>
    <mergeCell ref="B25:D25"/>
    <mergeCell ref="B16:D16"/>
    <mergeCell ref="B17:D17"/>
    <mergeCell ref="B18:D18"/>
    <mergeCell ref="B19:D19"/>
    <mergeCell ref="B20:D20"/>
    <mergeCell ref="B11:D11"/>
    <mergeCell ref="B12:D12"/>
    <mergeCell ref="B13:D13"/>
    <mergeCell ref="B14:D14"/>
    <mergeCell ref="B15:D15"/>
    <mergeCell ref="K5:K6"/>
    <mergeCell ref="L5:L6"/>
    <mergeCell ref="B8:D8"/>
    <mergeCell ref="B9:D9"/>
    <mergeCell ref="B10:D10"/>
    <mergeCell ref="B5:D6"/>
    <mergeCell ref="E5:F5"/>
    <mergeCell ref="G5:G6"/>
    <mergeCell ref="H5:I5"/>
    <mergeCell ref="J5:J6"/>
  </mergeCells>
  <printOptions horizontalCentered="1"/>
  <pageMargins left="0.25" right="0.25" top="0.5" bottom="0.65" header="0.25" footer="0.25"/>
  <pageSetup scale="90" orientation="landscape" horizontalDpi="300" verticalDpi="300"/>
  <headerFooter>
    <oddHeader>&amp;R&amp;8&amp;D</oddHeader>
    <oddFooter>&amp;R&amp;8&amp;P</oddFooter>
  </headerFooter>
  <legacyDrawing r:id="rId1"/>
</worksheet>
</file>

<file path=docProps/app.xml><?xml version="1.0" encoding="utf-8"?>
<Properties xmlns="http://schemas.openxmlformats.org/officeDocument/2006/extended-properties" xmlns:vt="http://schemas.openxmlformats.org/officeDocument/2006/docPropsVTypes">
  <Template/>
  <TotalTime>8</TotalTime>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FOOD</vt:lpstr>
      <vt:lpstr>BAR</vt:lpstr>
      <vt:lpstr>BAR!Print_Area</vt:lpstr>
      <vt:lpstr>FOOD!Print_Area</vt:lpstr>
      <vt:lpstr>BAR!Print_Titles</vt:lpstr>
      <vt:lpstr>FOOD!Print_Titles</vt:lpstr>
    </vt:vector>
  </TitlesOfParts>
  <Company>RestaurantOwner.com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Food &amp; Beverage Inventory</dc:title>
  <dc:subject/>
  <dc:creator>Jim Laube</dc:creator>
  <dc:description>THE CONTENT IN THIS TEMPLATE IS THE INTELLECTUAL PROPERTY OF RESTAURANTOWNER.COM AND IS REGISTERED UNDER THE COPYRIGHT REGISTRATION NUMBER TXu 1-344-214 WITH THE UNITED STATES COPYRIGHT OFFICE PURSUANT TO TITLE 17 OF THE UNITED STATES CODE.  UNAUTHORIZED USE, DISTRIBUTION AND/OR PUBLICATION OF THIS MATERIAL CONSTITUTES COPYRIGHT INFRINGEMENT.  THE COPYRIGHT ACT (17 U.S.C. SECTION 101, et seq.) PROVIDES FOR THE IMPOSITION OF SIGNIFICANT LEGAL AND EQUITABLE REMEDIES AGAINST ANY PERSON WHO INFRINGES OR OTHERWISE VIOLATES ANY OF THE EXCLUSIVE RIGHTS OF A COPYRIGHT OWNER.
Copyright © 2014 by RestaurantOwner.com</dc:description>
  <cp:lastModifiedBy>SW Grill Kitchen</cp:lastModifiedBy>
  <cp:revision>1</cp:revision>
  <cp:lastPrinted>2025-05-01T12:28:29Z</cp:lastPrinted>
  <dcterms:created xsi:type="dcterms:W3CDTF">2002-09-30T20:46:38Z</dcterms:created>
  <dcterms:modified xsi:type="dcterms:W3CDTF">2025-07-13T22:53:15Z</dcterms:modified>
  <cp:category>THE CONTENT IN THIS TEMPLATE IS THE INTELLECTUAL PROPERTY OF RESTAURANTOWNER.COM AND IS REGISTERED UNDER THE COPYRIGHT REGISTRATION NUMBER TXu 1-344-214 WITH THE UNITED STATES COPYRIGHT OFFICE PURSUANT TO TITLE 17 OF THE UNITED STATES CODE.  UNAUTHORIZED USE, DISTRIBUTION AND/OR PUBLICATION OF THIS MATERIAL CONSTITUTES COPYRIGHT INFRINGEMENT.  THE COPYRIGHT ACT (17 U.S.C. SECTION 101, et seq.) PROVIDES FOR THE IMPOSITION OF SIGNIFICANT LEGAL AND EQUITABLE REMEDIES AGAINST ANY PERSON WHO INFRINGES OR OTHERWISE VIOLATES ANY OF THE EXCLUSIVE RIGHTS OF A COPYRIGHT OWNER. Copyright © 2017-18 by RestaurantOwner.com</cp:category>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2058542315</vt:i4>
  </property>
  <property fmtid="{D5CDD505-2E9C-101B-9397-08002B2CF9AE}" pid="3" name="_AuthorEmail">
    <vt:lpwstr>fna@pdq.net</vt:lpwstr>
  </property>
  <property fmtid="{D5CDD505-2E9C-101B-9397-08002B2CF9AE}" pid="4" name="_AuthorEmailDisplayName">
    <vt:lpwstr>Frank Audesirk</vt:lpwstr>
  </property>
  <property fmtid="{D5CDD505-2E9C-101B-9397-08002B2CF9AE}" pid="5" name="_EmailSubject">
    <vt:lpwstr>inventory</vt:lpwstr>
  </property>
  <property fmtid="{D5CDD505-2E9C-101B-9397-08002B2CF9AE}" pid="6" name="_ReviewingToolsShownOnce">
    <vt:lpwstr/>
  </property>
</Properties>
</file>