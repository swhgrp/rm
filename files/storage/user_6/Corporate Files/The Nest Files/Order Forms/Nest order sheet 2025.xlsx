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FOOD" sheetId="1" state="visible" r:id="rId3"/>
    <sheet name="BAR" sheetId="2" state="visible" r:id="rId4"/>
  </sheets>
  <definedNames>
    <definedName function="false" hidden="false" localSheetId="1" name="_xlnm.Print_Area" vbProcedure="false">BAR!$B$1:$I$208</definedName>
    <definedName function="false" hidden="false" localSheetId="1" name="_xlnm.Print_Titles" vbProcedure="false">BAR!$1:$6</definedName>
    <definedName function="false" hidden="false" localSheetId="0" name="_xlnm.Print_Area" vbProcedure="false">FOOD!$C$1:$I$222</definedName>
    <definedName function="false" hidden="false" localSheetId="0" name="_xlnm.Print_Titles" vbProcedure="false">FOOD!$1:$6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<sst xmlns="http://schemas.openxmlformats.org/spreadsheetml/2006/main" count="774" uniqueCount="414">
  <si>
    <t xml:space="preserve">The Nest</t>
  </si>
  <si>
    <t xml:space="preserve">Food Order Sheet</t>
  </si>
  <si>
    <t xml:space="preserve"> </t>
  </si>
  <si>
    <t xml:space="preserve">ITEM DESCRIPTIONS</t>
  </si>
  <si>
    <t xml:space="preserve">DISTRUBUTOR</t>
  </si>
  <si>
    <t xml:space="preserve">UNITS</t>
  </si>
  <si>
    <t xml:space="preserve">ON HAND</t>
  </si>
  <si>
    <t xml:space="preserve">PAR</t>
  </si>
  <si>
    <t xml:space="preserve">TO ORDER</t>
  </si>
  <si>
    <t xml:space="preserve">Lowest Price</t>
  </si>
  <si>
    <t xml:space="preserve">MEAT</t>
  </si>
  <si>
    <t xml:space="preserve">BJs</t>
  </si>
  <si>
    <t xml:space="preserve">Sams</t>
  </si>
  <si>
    <t xml:space="preserve">GFS</t>
  </si>
  <si>
    <t xml:space="preserve">Price</t>
  </si>
  <si>
    <t xml:space="preserve">Per Unit</t>
  </si>
  <si>
    <t xml:space="preserve">Turkey</t>
  </si>
  <si>
    <t xml:space="preserve">Ham</t>
  </si>
  <si>
    <t xml:space="preserve">Salami</t>
  </si>
  <si>
    <t xml:space="preserve">Cappacola</t>
  </si>
  <si>
    <t xml:space="preserve">Cuban Meat</t>
  </si>
  <si>
    <t xml:space="preserve">Flap Steak</t>
  </si>
  <si>
    <t xml:space="preserve">Sausage Patties</t>
  </si>
  <si>
    <t xml:space="preserve">1 Case</t>
  </si>
  <si>
    <t xml:space="preserve">Hot Dogs</t>
  </si>
  <si>
    <t xml:space="preserve">5 Cases</t>
  </si>
  <si>
    <t xml:space="preserve">Bacon</t>
  </si>
  <si>
    <t xml:space="preserve">Burger patty</t>
  </si>
  <si>
    <t xml:space="preserve">Slider meat</t>
  </si>
  <si>
    <t xml:space="preserve">Prosciutto</t>
  </si>
  <si>
    <t xml:space="preserve">SNACKS</t>
  </si>
  <si>
    <t xml:space="preserve">M&amp;M's</t>
  </si>
  <si>
    <t xml:space="preserve">Peanut M&amp;M's</t>
  </si>
  <si>
    <t xml:space="preserve">Twix</t>
  </si>
  <si>
    <t xml:space="preserve">Snickers</t>
  </si>
  <si>
    <t xml:space="preserve">Reese's</t>
  </si>
  <si>
    <t xml:space="preserve">Kit Kat</t>
  </si>
  <si>
    <t xml:space="preserve">Milky Way</t>
  </si>
  <si>
    <t xml:space="preserve">Beef Jerky - Jack Links Variety Pack</t>
  </si>
  <si>
    <t xml:space="preserve">Trail Mix - Kar's Sweet and Salty</t>
  </si>
  <si>
    <t xml:space="preserve">Sam's</t>
  </si>
  <si>
    <t xml:space="preserve">Planters Nuts Variety Pack</t>
  </si>
  <si>
    <t xml:space="preserve">Goldfish Crackers</t>
  </si>
  <si>
    <t xml:space="preserve">Kind Bars - Peanut Butter/Almond Pack</t>
  </si>
  <si>
    <t xml:space="preserve">Clif Bar Peanut Butter</t>
  </si>
  <si>
    <t xml:space="preserve">Clif Bar Almond</t>
  </si>
  <si>
    <t xml:space="preserve">Muffin - Cholcolate Chip</t>
  </si>
  <si>
    <t xml:space="preserve">Muffin - Blueberry</t>
  </si>
  <si>
    <t xml:space="preserve">Muffin - Coffee Cake</t>
  </si>
  <si>
    <t xml:space="preserve">Brownies</t>
  </si>
  <si>
    <t xml:space="preserve">Vickie's Sea Salt</t>
  </si>
  <si>
    <t xml:space="preserve">Vickie's Salt &amp; Vinegar</t>
  </si>
  <si>
    <t xml:space="preserve">Vickie's BBQ</t>
  </si>
  <si>
    <t xml:space="preserve">Vickie's Jalapeno</t>
  </si>
  <si>
    <t xml:space="preserve">Pretzels</t>
  </si>
  <si>
    <t xml:space="preserve">Variety Pack Chips</t>
  </si>
  <si>
    <t xml:space="preserve">Waffle</t>
  </si>
  <si>
    <t xml:space="preserve">Hibiscus (Jamaica)</t>
  </si>
  <si>
    <t xml:space="preserve">Strawberry Dragonfruit</t>
  </si>
  <si>
    <t xml:space="preserve">Sweet Tea</t>
  </si>
  <si>
    <t xml:space="preserve">Lemonade</t>
  </si>
  <si>
    <t xml:space="preserve">Berry Patch</t>
  </si>
  <si>
    <t xml:space="preserve">Mandarin Cardamom</t>
  </si>
  <si>
    <t xml:space="preserve">POULTRY</t>
  </si>
  <si>
    <t xml:space="preserve">UNIT</t>
  </si>
  <si>
    <t xml:space="preserve">Eggs</t>
  </si>
  <si>
    <t xml:space="preserve">Chicken Wings</t>
  </si>
  <si>
    <t xml:space="preserve">Chicken Breast</t>
  </si>
  <si>
    <t xml:space="preserve">Chicken Tenders</t>
  </si>
  <si>
    <t xml:space="preserve">PRODUCE</t>
  </si>
  <si>
    <t xml:space="preserve">Lettuce</t>
  </si>
  <si>
    <t xml:space="preserve">Di Martino</t>
  </si>
  <si>
    <t xml:space="preserve">Red Onion</t>
  </si>
  <si>
    <t xml:space="preserve">Basil</t>
  </si>
  <si>
    <t xml:space="preserve">Tomatoes</t>
  </si>
  <si>
    <t xml:space="preserve">Cilantro</t>
  </si>
  <si>
    <t xml:space="preserve">White Onion</t>
  </si>
  <si>
    <t xml:space="preserve">Parsley</t>
  </si>
  <si>
    <t xml:space="preserve">Avocado</t>
  </si>
  <si>
    <t xml:space="preserve">Jalapeno</t>
  </si>
  <si>
    <t xml:space="preserve">Garlic Cloves</t>
  </si>
  <si>
    <t xml:space="preserve">Mint</t>
  </si>
  <si>
    <t xml:space="preserve">Cucumber</t>
  </si>
  <si>
    <t xml:space="preserve">Spring Mix</t>
  </si>
  <si>
    <t xml:space="preserve">Celery</t>
  </si>
  <si>
    <t xml:space="preserve">Slider Bun MINI</t>
  </si>
  <si>
    <t xml:space="preserve">Watermelon</t>
  </si>
  <si>
    <t xml:space="preserve">Cole Slaw</t>
  </si>
  <si>
    <t xml:space="preserve">Red Bell Pepper</t>
  </si>
  <si>
    <t xml:space="preserve">Strawberry</t>
  </si>
  <si>
    <t xml:space="preserve">Raspberry</t>
  </si>
  <si>
    <t xml:space="preserve">Blueberry</t>
  </si>
  <si>
    <t xml:space="preserve">Grapes</t>
  </si>
  <si>
    <t xml:space="preserve">Shallots</t>
  </si>
  <si>
    <t xml:space="preserve">Scallions</t>
  </si>
  <si>
    <t xml:space="preserve">Idaho Potatoes</t>
  </si>
  <si>
    <t xml:space="preserve">Frying Shortening</t>
  </si>
  <si>
    <t xml:space="preserve">DAIRY</t>
  </si>
  <si>
    <t xml:space="preserve">Cheddar</t>
  </si>
  <si>
    <t xml:space="preserve">Swiss</t>
  </si>
  <si>
    <t xml:space="preserve">Provolone</t>
  </si>
  <si>
    <t xml:space="preserve">Cream Cheese</t>
  </si>
  <si>
    <t xml:space="preserve">Pepper Jack Cheese</t>
  </si>
  <si>
    <t xml:space="preserve">Feta Cheese</t>
  </si>
  <si>
    <t xml:space="preserve">Buttermilk</t>
  </si>
  <si>
    <t xml:space="preserve">Heavy Cream</t>
  </si>
  <si>
    <t xml:space="preserve">Mexican Blend Cheese</t>
  </si>
  <si>
    <t xml:space="preserve">Parmesan Cheese</t>
  </si>
  <si>
    <t xml:space="preserve">Mozzarella Cheese Log</t>
  </si>
  <si>
    <t xml:space="preserve">Gouda Cheese</t>
  </si>
  <si>
    <t xml:space="preserve">Manchego Cheese</t>
  </si>
  <si>
    <t xml:space="preserve">Brie Cheese</t>
  </si>
  <si>
    <t xml:space="preserve">Ice Cream</t>
  </si>
  <si>
    <t xml:space="preserve">Sour Cream</t>
  </si>
  <si>
    <t xml:space="preserve">Ricotta Cheese</t>
  </si>
  <si>
    <t xml:space="preserve">Shredded Mozzarella Cheese</t>
  </si>
  <si>
    <t xml:space="preserve">Blue Cheese Crumble</t>
  </si>
  <si>
    <t xml:space="preserve">BAKERY</t>
  </si>
  <si>
    <t xml:space="preserve">Wheat Bread</t>
  </si>
  <si>
    <t xml:space="preserve">White Bread</t>
  </si>
  <si>
    <t xml:space="preserve">Hot Dog Buns</t>
  </si>
  <si>
    <t xml:space="preserve">English Muffins</t>
  </si>
  <si>
    <t xml:space="preserve">Bagels</t>
  </si>
  <si>
    <t xml:space="preserve">Wraps</t>
  </si>
  <si>
    <t xml:space="preserve">Cuban Bread</t>
  </si>
  <si>
    <t xml:space="preserve">Brioche Bun</t>
  </si>
  <si>
    <t xml:space="preserve">Tortilla Chips</t>
  </si>
  <si>
    <t xml:space="preserve">Italian Bread (grinder rolls)</t>
  </si>
  <si>
    <t xml:space="preserve">Sourdough Bread</t>
  </si>
  <si>
    <t xml:space="preserve">Flatbread</t>
  </si>
  <si>
    <t xml:space="preserve">Croissants</t>
  </si>
  <si>
    <t xml:space="preserve">GROCERY/DRY GOODS</t>
  </si>
  <si>
    <t xml:space="preserve">Ketchup Packets</t>
  </si>
  <si>
    <t xml:space="preserve">Mustard Packets</t>
  </si>
  <si>
    <t xml:space="preserve">Mayo Packets</t>
  </si>
  <si>
    <t xml:space="preserve">Ketchup #10 Jug</t>
  </si>
  <si>
    <t xml:space="preserve">Mayo 1gal</t>
  </si>
  <si>
    <t xml:space="preserve">2oz to go plastic container </t>
  </si>
  <si>
    <t xml:space="preserve">Kraut 1gal</t>
  </si>
  <si>
    <t xml:space="preserve">Dijon Mustard </t>
  </si>
  <si>
    <t xml:space="preserve">Yellow Mustard</t>
  </si>
  <si>
    <t xml:space="preserve">Honey Mustard</t>
  </si>
  <si>
    <t xml:space="preserve">Olive Oil</t>
  </si>
  <si>
    <t xml:space="preserve">4oz plastic to go containers </t>
  </si>
  <si>
    <t xml:space="preserve">BBQ Sauce</t>
  </si>
  <si>
    <t xml:space="preserve">Balsamic Glaze</t>
  </si>
  <si>
    <t xml:space="preserve">Ranch Powder</t>
  </si>
  <si>
    <t xml:space="preserve">Franks Hot Sauce</t>
  </si>
  <si>
    <t xml:space="preserve">Chipotle Pepper</t>
  </si>
  <si>
    <t xml:space="preserve">Cajun Seasoning</t>
  </si>
  <si>
    <t xml:space="preserve">Red Wine Vinegar</t>
  </si>
  <si>
    <t xml:space="preserve">Leaf Basil</t>
  </si>
  <si>
    <t xml:space="preserve">Granulated Sugar</t>
  </si>
  <si>
    <t xml:space="preserve">Brown Sugar</t>
  </si>
  <si>
    <t xml:space="preserve">Ponzu Sauce</t>
  </si>
  <si>
    <t xml:space="preserve">Panko</t>
  </si>
  <si>
    <t xml:space="preserve">Flour</t>
  </si>
  <si>
    <t xml:space="preserve">Lemon Pepper Seasoning</t>
  </si>
  <si>
    <t xml:space="preserve">Paprika</t>
  </si>
  <si>
    <t xml:space="preserve">Cayenne</t>
  </si>
  <si>
    <t xml:space="preserve">Ground Black Pepper</t>
  </si>
  <si>
    <t xml:space="preserve">Kosher Salt</t>
  </si>
  <si>
    <t xml:space="preserve">Granulated Garlic</t>
  </si>
  <si>
    <t xml:space="preserve">Blue Cheese Powder</t>
  </si>
  <si>
    <t xml:space="preserve">Teriyaki Sauce</t>
  </si>
  <si>
    <t xml:space="preserve">Worstershire Sauce</t>
  </si>
  <si>
    <t xml:space="preserve">Nutella</t>
  </si>
  <si>
    <t xml:space="preserve">Dry Oregano</t>
  </si>
  <si>
    <t xml:space="preserve">Balsamic Dressing</t>
  </si>
  <si>
    <t xml:space="preserve">Caesar Dressing</t>
  </si>
  <si>
    <t xml:space="preserve">French Fries</t>
  </si>
  <si>
    <t xml:space="preserve">LG Gloves</t>
  </si>
  <si>
    <t xml:space="preserve">Aluminum Foil Sheets 17x10</t>
  </si>
  <si>
    <t xml:space="preserve">White Wine Vinegar</t>
  </si>
  <si>
    <t xml:space="preserve">Cavatappi Pasta</t>
  </si>
  <si>
    <t xml:space="preserve">Ziploc Bags</t>
  </si>
  <si>
    <t xml:space="preserve">Label Dissolvable </t>
  </si>
  <si>
    <t xml:space="preserve">Hairnets</t>
  </si>
  <si>
    <t xml:space="preserve">LG TO GO Containters 8x8x3 </t>
  </si>
  <si>
    <t xml:space="preserve">       GFS</t>
  </si>
  <si>
    <t xml:space="preserve">PAPER  AND CONSUMABLES</t>
  </si>
  <si>
    <t xml:space="preserve">Clamshells</t>
  </si>
  <si>
    <t xml:space="preserve">Sandwich Wedges</t>
  </si>
  <si>
    <t xml:space="preserve">Napkins</t>
  </si>
  <si>
    <t xml:space="preserve">Water Cups</t>
  </si>
  <si>
    <t xml:space="preserve">Water Lids</t>
  </si>
  <si>
    <t xml:space="preserve">Coffee Cups</t>
  </si>
  <si>
    <t xml:space="preserve">Coffee Lids</t>
  </si>
  <si>
    <t xml:space="preserve">Straws</t>
  </si>
  <si>
    <t xml:space="preserve">Toilet Paper</t>
  </si>
  <si>
    <t xml:space="preserve">Paper Towels</t>
  </si>
  <si>
    <t xml:space="preserve">Aluminum Foil</t>
  </si>
  <si>
    <t xml:space="preserve">Hot Dog Trays</t>
  </si>
  <si>
    <t xml:space="preserve">Trash Bags</t>
  </si>
  <si>
    <t xml:space="preserve">Dishwasher Detergent</t>
  </si>
  <si>
    <t xml:space="preserve">Sanitizer</t>
  </si>
  <si>
    <t xml:space="preserve">Portion Cups</t>
  </si>
  <si>
    <t xml:space="preserve">Corn Tortillas</t>
  </si>
  <si>
    <t xml:space="preserve">Portion Lids</t>
  </si>
  <si>
    <t xml:space="preserve">SODA BIBS</t>
  </si>
  <si>
    <t xml:space="preserve">Beer</t>
  </si>
  <si>
    <t xml:space="preserve">Vendor</t>
  </si>
  <si>
    <t xml:space="preserve">Water</t>
  </si>
  <si>
    <t xml:space="preserve">Bottled Coke</t>
  </si>
  <si>
    <t xml:space="preserve">Canned Coke</t>
  </si>
  <si>
    <t xml:space="preserve">Receipt Paper</t>
  </si>
  <si>
    <t xml:space="preserve">Small Straws</t>
  </si>
  <si>
    <t xml:space="preserve">Napkins Table Dispenser</t>
  </si>
  <si>
    <t xml:space="preserve">Napkins Silverware Roll</t>
  </si>
  <si>
    <t xml:space="preserve">Fiji</t>
  </si>
  <si>
    <t xml:space="preserve">Perrier</t>
  </si>
  <si>
    <t xml:space="preserve">Kegs</t>
  </si>
  <si>
    <t xml:space="preserve">Multi-Fold Napkins</t>
  </si>
  <si>
    <t xml:space="preserve">Coffee</t>
  </si>
  <si>
    <t xml:space="preserve">Plastic Bags</t>
  </si>
  <si>
    <t xml:space="preserve">Limes</t>
  </si>
  <si>
    <t xml:space="preserve">Lemons</t>
  </si>
  <si>
    <t xml:space="preserve">Coffee Creamer</t>
  </si>
  <si>
    <t xml:space="preserve">Beverage Order Sheet</t>
  </si>
  <si>
    <t xml:space="preserve">DISTRIBUTOR</t>
  </si>
  <si>
    <t xml:space="preserve">LIQUOR</t>
  </si>
  <si>
    <t xml:space="preserve">VODKA:</t>
  </si>
  <si>
    <t xml:space="preserve">Tito's</t>
  </si>
  <si>
    <t xml:space="preserve">Btls</t>
  </si>
  <si>
    <t xml:space="preserve">Smirnoff</t>
  </si>
  <si>
    <t xml:space="preserve">Smirnoff Vanilla</t>
  </si>
  <si>
    <t xml:space="preserve">Smirnoff Blueberry</t>
  </si>
  <si>
    <t xml:space="preserve">Smirnoff Peach</t>
  </si>
  <si>
    <t xml:space="preserve">Smirnoff Citrus</t>
  </si>
  <si>
    <t xml:space="preserve">Smirnoff Green Apple</t>
  </si>
  <si>
    <t xml:space="preserve">Smirnoff Raspberry</t>
  </si>
  <si>
    <t xml:space="preserve">Smirnoff Watermelon</t>
  </si>
  <si>
    <t xml:space="preserve">Grey Goose</t>
  </si>
  <si>
    <t xml:space="preserve">Ketel One</t>
  </si>
  <si>
    <t xml:space="preserve">GIN:</t>
  </si>
  <si>
    <t xml:space="preserve">Tanqueray</t>
  </si>
  <si>
    <t xml:space="preserve">Empress</t>
  </si>
  <si>
    <t xml:space="preserve">Bombay Sapphire</t>
  </si>
  <si>
    <t xml:space="preserve">Hendricks</t>
  </si>
  <si>
    <t xml:space="preserve">RUM:</t>
  </si>
  <si>
    <t xml:space="preserve">Bacardi</t>
  </si>
  <si>
    <t xml:space="preserve">Captain Morgan Spiced</t>
  </si>
  <si>
    <t xml:space="preserve">Don Q Pina</t>
  </si>
  <si>
    <t xml:space="preserve">Don Q Passion Fruit</t>
  </si>
  <si>
    <t xml:space="preserve">Don Q Coco</t>
  </si>
  <si>
    <t xml:space="preserve">Don Q Crystal</t>
  </si>
  <si>
    <t xml:space="preserve">Cruz an Dark Rum</t>
  </si>
  <si>
    <t xml:space="preserve">TEQUILA:</t>
  </si>
  <si>
    <t xml:space="preserve">Casamigos Blanco</t>
  </si>
  <si>
    <t xml:space="preserve">Casamigos Repo</t>
  </si>
  <si>
    <t xml:space="preserve">Casamigos Mescal</t>
  </si>
  <si>
    <t xml:space="preserve">Patron Silver</t>
  </si>
  <si>
    <t xml:space="preserve">Sauza Silver</t>
  </si>
  <si>
    <t xml:space="preserve">Clase Azul Plata</t>
  </si>
  <si>
    <t xml:space="preserve">Clase Azup Repo</t>
  </si>
  <si>
    <t xml:space="preserve">Don Julio Blanco</t>
  </si>
  <si>
    <t xml:space="preserve">Don Julio Repo</t>
  </si>
  <si>
    <t xml:space="preserve">Don Julio Anejo</t>
  </si>
  <si>
    <t xml:space="preserve">Milagro Silver</t>
  </si>
  <si>
    <t xml:space="preserve">SCOTCH:</t>
  </si>
  <si>
    <t xml:space="preserve">Dewars</t>
  </si>
  <si>
    <t xml:space="preserve">Macallen 12yr</t>
  </si>
  <si>
    <t xml:space="preserve">Glenlivet 12 yr</t>
  </si>
  <si>
    <t xml:space="preserve">Johnny Walker Black</t>
  </si>
  <si>
    <t xml:space="preserve">WHISEY/BOURBON:</t>
  </si>
  <si>
    <t xml:space="preserve">Angels Envy</t>
  </si>
  <si>
    <t xml:space="preserve">Jack Daniels</t>
  </si>
  <si>
    <t xml:space="preserve">Bullet</t>
  </si>
  <si>
    <t xml:space="preserve">Tempelton Rye</t>
  </si>
  <si>
    <t xml:space="preserve">Makers Mark</t>
  </si>
  <si>
    <t xml:space="preserve">Knob Creek</t>
  </si>
  <si>
    <t xml:space="preserve">Jameson</t>
  </si>
  <si>
    <t xml:space="preserve">Crown</t>
  </si>
  <si>
    <t xml:space="preserve">Crown BlackBerry</t>
  </si>
  <si>
    <t xml:space="preserve">Crown Vanilla</t>
  </si>
  <si>
    <t xml:space="preserve">Crown Apple</t>
  </si>
  <si>
    <t xml:space="preserve">Crown Peach</t>
  </si>
  <si>
    <t xml:space="preserve">Skrewball</t>
  </si>
  <si>
    <t xml:space="preserve">Southern Comfort</t>
  </si>
  <si>
    <t xml:space="preserve">Woodford   Reserve</t>
  </si>
  <si>
    <t xml:space="preserve">CORDIALS:</t>
  </si>
  <si>
    <t xml:space="preserve">Dry Vermoth</t>
  </si>
  <si>
    <t xml:space="preserve">Sweet Vermoth</t>
  </si>
  <si>
    <t xml:space="preserve">Aperol</t>
  </si>
  <si>
    <t xml:space="preserve">Kahalua</t>
  </si>
  <si>
    <t xml:space="preserve">Dekyper Triple Sec</t>
  </si>
  <si>
    <t xml:space="preserve">Case</t>
  </si>
  <si>
    <t xml:space="preserve">Dekyper Peach</t>
  </si>
  <si>
    <t xml:space="preserve">Dekyper Blue Curacao</t>
  </si>
  <si>
    <t xml:space="preserve">St Germaine</t>
  </si>
  <si>
    <t xml:space="preserve">Baileys</t>
  </si>
  <si>
    <t xml:space="preserve">Ancho Reyes</t>
  </si>
  <si>
    <t xml:space="preserve">Grand Mariner</t>
  </si>
  <si>
    <t xml:space="preserve">Luxardo Amaretto Di Saschira</t>
  </si>
  <si>
    <t xml:space="preserve">Angostura Amaro di Angostura</t>
  </si>
  <si>
    <t xml:space="preserve">MIXERS:</t>
  </si>
  <si>
    <t xml:space="preserve">Dailys Sweet &amp; Sour</t>
  </si>
  <si>
    <t xml:space="preserve">Dailys  Simple Syrup</t>
  </si>
  <si>
    <t xml:space="preserve">Dailys Grenadine</t>
  </si>
  <si>
    <t xml:space="preserve">Goslings Ginger Beer</t>
  </si>
  <si>
    <t xml:space="preserve">2 Case</t>
  </si>
  <si>
    <t xml:space="preserve">Angostura Bitters</t>
  </si>
  <si>
    <t xml:space="preserve">Angostura Orange Bitters</t>
  </si>
  <si>
    <t xml:space="preserve">Lilys Lime Juice</t>
  </si>
  <si>
    <t xml:space="preserve">Tres Agaves Margarita Mix</t>
  </si>
  <si>
    <t xml:space="preserve">Trea Agaves Bloody Mary Mix</t>
  </si>
  <si>
    <t xml:space="preserve">Real Blue Agave</t>
  </si>
  <si>
    <t xml:space="preserve">Breakthru</t>
  </si>
  <si>
    <t xml:space="preserve">Dirt Martini Olive Brine</t>
  </si>
  <si>
    <t xml:space="preserve">BOTTLE BEER</t>
  </si>
  <si>
    <t xml:space="preserve">Miller Lite</t>
  </si>
  <si>
    <t xml:space="preserve">Deal</t>
  </si>
  <si>
    <t xml:space="preserve">Coors Lite</t>
  </si>
  <si>
    <t xml:space="preserve">Mich Ultra</t>
  </si>
  <si>
    <t xml:space="preserve">Bud Light</t>
  </si>
  <si>
    <t xml:space="preserve">Corona</t>
  </si>
  <si>
    <t xml:space="preserve">Modelo</t>
  </si>
  <si>
    <t xml:space="preserve">Heineken</t>
  </si>
  <si>
    <t xml:space="preserve">Stella</t>
  </si>
  <si>
    <t xml:space="preserve">Yeungling</t>
  </si>
  <si>
    <t xml:space="preserve">Jai Alai</t>
  </si>
  <si>
    <t xml:space="preserve">Heineken 0.0</t>
  </si>
  <si>
    <t xml:space="preserve">DRAFT BEER</t>
  </si>
  <si>
    <t xml:space="preserve">Yeungling Keg</t>
  </si>
  <si>
    <t xml:space="preserve">Keg</t>
  </si>
  <si>
    <t xml:space="preserve">Amber Bock Keg</t>
  </si>
  <si>
    <t xml:space="preserve">Goose Island Keg</t>
  </si>
  <si>
    <t xml:space="preserve">Stella Keg</t>
  </si>
  <si>
    <t xml:space="preserve">RTD</t>
  </si>
  <si>
    <t xml:space="preserve">Surfside Half &amp; Half</t>
  </si>
  <si>
    <t xml:space="preserve">Surfside Ice Tea</t>
  </si>
  <si>
    <t xml:space="preserve">Surfside Lemonade Vodka</t>
  </si>
  <si>
    <t xml:space="preserve">Surfside Peach Tea Vodka</t>
  </si>
  <si>
    <t xml:space="preserve">Surfside Strawberry Lemonade Vodka</t>
  </si>
  <si>
    <t xml:space="preserve">Sufrside Raspberry Tea Vodka</t>
  </si>
  <si>
    <t xml:space="preserve">High Noon Kiwi</t>
  </si>
  <si>
    <t xml:space="preserve">High Noon Raspberry</t>
  </si>
  <si>
    <t xml:space="preserve">High Noon Cranberry</t>
  </si>
  <si>
    <t xml:space="preserve">High Noon Pineapple</t>
  </si>
  <si>
    <t xml:space="preserve">High Noon Watermellon</t>
  </si>
  <si>
    <t xml:space="preserve">High Noon Tequila Lime</t>
  </si>
  <si>
    <t xml:space="preserve">High Noon Tequila Strawberry</t>
  </si>
  <si>
    <t xml:space="preserve">High Noon Tequila Grapefruit</t>
  </si>
  <si>
    <t xml:space="preserve">NAB</t>
  </si>
  <si>
    <t xml:space="preserve">GFS/BJs</t>
  </si>
  <si>
    <t xml:space="preserve">Powerade Red</t>
  </si>
  <si>
    <t xml:space="preserve">Powerade Blue</t>
  </si>
  <si>
    <t xml:space="preserve">Powerade Purple</t>
  </si>
  <si>
    <t xml:space="preserve">Powerade Orange</t>
  </si>
  <si>
    <t xml:space="preserve">Powerade Yellow</t>
  </si>
  <si>
    <t xml:space="preserve">Powerade SF Red</t>
  </si>
  <si>
    <t xml:space="preserve">Powerade SF Blue</t>
  </si>
  <si>
    <t xml:space="preserve">Powerade SF Purple</t>
  </si>
  <si>
    <t xml:space="preserve">Bottle Coke</t>
  </si>
  <si>
    <t xml:space="preserve">Bottle Diet Coke</t>
  </si>
  <si>
    <t xml:space="preserve">Bottle Coke Zero</t>
  </si>
  <si>
    <t xml:space="preserve">Bottle Sprite</t>
  </si>
  <si>
    <t xml:space="preserve">BIB Coke</t>
  </si>
  <si>
    <t xml:space="preserve">Each</t>
  </si>
  <si>
    <t xml:space="preserve">BIB Diet Coke</t>
  </si>
  <si>
    <t xml:space="preserve">BIB Sprite</t>
  </si>
  <si>
    <t xml:space="preserve">As Need</t>
  </si>
  <si>
    <t xml:space="preserve">BIB Ginger Ale</t>
  </si>
  <si>
    <t xml:space="preserve">BIB Tonic</t>
  </si>
  <si>
    <t xml:space="preserve">Red Bull</t>
  </si>
  <si>
    <t xml:space="preserve">Red Bull SF</t>
  </si>
  <si>
    <t xml:space="preserve">Red Bull Watermelon</t>
  </si>
  <si>
    <t xml:space="preserve">Red Bull Tropical</t>
  </si>
  <si>
    <t xml:space="preserve">Red Bull Blueberry</t>
  </si>
  <si>
    <t xml:space="preserve">Wesley Farms Orange Juice (1 Gal)</t>
  </si>
  <si>
    <t xml:space="preserve">Wesley Grape Juice</t>
  </si>
  <si>
    <t xml:space="preserve">2 Btls</t>
  </si>
  <si>
    <t xml:space="preserve">Ocean Spray Cranberry Juice</t>
  </si>
  <si>
    <t xml:space="preserve">Weslley Farms Mango Passion Fruit Juice</t>
  </si>
  <si>
    <t xml:space="preserve">Stok Cold Brew Unsweet</t>
  </si>
  <si>
    <t xml:space="preserve">Pineapple Juice Can (6oz)</t>
  </si>
  <si>
    <t xml:space="preserve">24 Case</t>
  </si>
  <si>
    <t xml:space="preserve">Real Coco</t>
  </si>
  <si>
    <t xml:space="preserve">Btl</t>
  </si>
  <si>
    <t xml:space="preserve">Can Coke</t>
  </si>
  <si>
    <t xml:space="preserve">35 Can</t>
  </si>
  <si>
    <t xml:space="preserve">Can Diet Coke</t>
  </si>
  <si>
    <t xml:space="preserve">Can Sprite</t>
  </si>
  <si>
    <t xml:space="preserve">Can Ginger Ale</t>
  </si>
  <si>
    <t xml:space="preserve">24 Can</t>
  </si>
  <si>
    <t xml:space="preserve">Can Tonic</t>
  </si>
  <si>
    <t xml:space="preserve">Can Club Soda</t>
  </si>
  <si>
    <t xml:space="preserve">WINE</t>
  </si>
  <si>
    <t xml:space="preserve">WHITE WINES:</t>
  </si>
  <si>
    <t xml:space="preserve">St Francis Chardonnay</t>
  </si>
  <si>
    <t xml:space="preserve">12 Btl Case</t>
  </si>
  <si>
    <t xml:space="preserve">Case AN</t>
  </si>
  <si>
    <t xml:space="preserve">RNDC</t>
  </si>
  <si>
    <t xml:space="preserve">J. Lohr Riverstone Chardonnay</t>
  </si>
  <si>
    <t xml:space="preserve">Kim Crawford Sauvion Blanc</t>
  </si>
  <si>
    <t xml:space="preserve">SG</t>
  </si>
  <si>
    <t xml:space="preserve">Masi Pinot Grigio</t>
  </si>
  <si>
    <t xml:space="preserve">Santa Margherita Pinot Grigio</t>
  </si>
  <si>
    <t xml:space="preserve">SPARKLING:</t>
  </si>
  <si>
    <t xml:space="preserve">Ruffingo Proseco (187ml)</t>
  </si>
  <si>
    <t xml:space="preserve">24 Btl Case</t>
  </si>
  <si>
    <t xml:space="preserve">Santa Margherita Proseco (375ml)</t>
  </si>
  <si>
    <t xml:space="preserve">3 Btl</t>
  </si>
  <si>
    <t xml:space="preserve">Veuve Cliqout Yellow Label</t>
  </si>
  <si>
    <t xml:space="preserve">Gambino Sparkling Wine Brut Italy </t>
  </si>
  <si>
    <t xml:space="preserve">2 Cases</t>
  </si>
  <si>
    <t xml:space="preserve">RED WINES:</t>
  </si>
  <si>
    <t xml:space="preserve">Meiomi Pinot Noir</t>
  </si>
  <si>
    <t xml:space="preserve">6 Btl</t>
  </si>
  <si>
    <t xml:space="preserve">Stave &amp; Steel Cabernet</t>
  </si>
  <si>
    <t xml:space="preserve">Josh Cellars Cabernet</t>
  </si>
  <si>
    <t xml:space="preserve">Stoller Pinot Noir</t>
  </si>
  <si>
    <t xml:space="preserve">Chateau Ste. Michelle Merlot</t>
  </si>
  <si>
    <t xml:space="preserve">Prisoner</t>
  </si>
</sst>
</file>

<file path=xl/styles.xml><?xml version="1.0" encoding="utf-8"?>
<styleSheet xmlns="http://schemas.openxmlformats.org/spreadsheetml/2006/main">
  <numFmts count="7">
    <numFmt numFmtId="164" formatCode="General"/>
    <numFmt numFmtId="165" formatCode="_(\$* #,##0.00_);_(\$* \(#,##0.00\);_(\$* \-??_);_(@_)"/>
    <numFmt numFmtId="166" formatCode="#,##0.00_);\(#,##0.00\)"/>
    <numFmt numFmtId="167" formatCode="m/d;@"/>
    <numFmt numFmtId="168" formatCode="0"/>
    <numFmt numFmtId="169" formatCode="0.00"/>
    <numFmt numFmtId="170" formatCode="#,##0.0_);\(#,##0.0\)"/>
  </numFmts>
  <fonts count="13">
    <font>
      <sz val="10"/>
      <name val="Arial"/>
      <family val="0"/>
      <charset val="1"/>
    </font>
    <font>
      <sz val="10"/>
      <name val="Arial"/>
      <family val="0"/>
    </font>
    <font>
      <sz val="10"/>
      <name val="Arial"/>
      <family val="0"/>
    </font>
    <font>
      <sz val="10"/>
      <name val="Arial"/>
      <family val="0"/>
    </font>
    <font>
      <b val="true"/>
      <sz val="10"/>
      <name val="Arial"/>
      <family val="2"/>
      <charset val="1"/>
    </font>
    <font>
      <b val="true"/>
      <sz val="18"/>
      <color rgb="FFFF0000"/>
      <name val="Arial"/>
      <family val="2"/>
      <charset val="1"/>
    </font>
    <font>
      <b val="true"/>
      <sz val="10"/>
      <color rgb="FFFF0000"/>
      <name val="Arial"/>
      <family val="2"/>
      <charset val="1"/>
    </font>
    <font>
      <sz val="8"/>
      <color rgb="FF000000"/>
      <name val="Times New Roman"/>
      <family val="1"/>
      <charset val="1"/>
    </font>
    <font>
      <b val="true"/>
      <sz val="8"/>
      <name val="Arial"/>
      <family val="2"/>
      <charset val="1"/>
    </font>
    <font>
      <b val="true"/>
      <sz val="14"/>
      <name val="Arial"/>
      <family val="2"/>
      <charset val="1"/>
    </font>
    <font>
      <b val="true"/>
      <sz val="10"/>
      <color rgb="FFFFFFFF"/>
      <name val="Arial"/>
      <family val="2"/>
      <charset val="1"/>
    </font>
    <font>
      <b val="true"/>
      <sz val="14"/>
      <color rgb="FFFFFFFF"/>
      <name val="Arial"/>
      <family val="2"/>
      <charset val="1"/>
    </font>
    <font>
      <sz val="10"/>
      <name val="Arial"/>
      <family val="2"/>
      <charset val="1"/>
    </font>
  </fonts>
  <fills count="6">
    <fill>
      <patternFill patternType="none"/>
    </fill>
    <fill>
      <patternFill patternType="gray125"/>
    </fill>
    <fill>
      <patternFill patternType="solid">
        <fgColor rgb="FFFFFFFF"/>
        <bgColor rgb="FFFFFFCC"/>
      </patternFill>
    </fill>
    <fill>
      <patternFill patternType="solid">
        <fgColor rgb="FFCADCEE"/>
        <bgColor rgb="FFB4C9E2"/>
      </patternFill>
    </fill>
    <fill>
      <patternFill patternType="solid">
        <fgColor rgb="FF376091"/>
        <bgColor rgb="FF333399"/>
      </patternFill>
    </fill>
    <fill>
      <patternFill patternType="solid">
        <fgColor rgb="FFB4C9E2"/>
        <bgColor rgb="FF99CCFF"/>
      </patternFill>
    </fill>
  </fills>
  <borders count="38">
    <border diagonalUp="false" diagonalDown="false">
      <left/>
      <right/>
      <top/>
      <bottom/>
      <diagonal/>
    </border>
    <border diagonalUp="false" diagonalDown="false">
      <left style="medium"/>
      <right/>
      <top style="medium"/>
      <bottom/>
      <diagonal/>
    </border>
    <border diagonalUp="false" diagonalDown="false">
      <left style="medium"/>
      <right style="medium"/>
      <top style="medium"/>
      <bottom style="thin"/>
      <diagonal/>
    </border>
    <border diagonalUp="false" diagonalDown="false">
      <left style="medium"/>
      <right/>
      <top style="medium"/>
      <bottom style="thin"/>
      <diagonal/>
    </border>
    <border diagonalUp="false" diagonalDown="false">
      <left style="medium"/>
      <right style="medium"/>
      <top style="medium"/>
      <bottom/>
      <diagonal/>
    </border>
    <border diagonalUp="false" diagonalDown="false">
      <left style="medium"/>
      <right/>
      <top/>
      <bottom/>
      <diagonal/>
    </border>
    <border diagonalUp="false" diagonalDown="false">
      <left style="thin"/>
      <right style="medium"/>
      <top style="thin"/>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style="medium"/>
      <top style="medium"/>
      <bottom style="medium"/>
      <diagonal/>
    </border>
    <border diagonalUp="false" diagonalDown="false">
      <left style="thin"/>
      <right/>
      <top/>
      <bottom style="thin"/>
      <diagonal/>
    </border>
    <border diagonalUp="false" diagonalDown="false">
      <left/>
      <right/>
      <top/>
      <bottom style="thin"/>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top/>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medium"/>
      <right/>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style="medium"/>
      <top style="medium"/>
      <bottom style="medium"/>
      <diagonal/>
    </border>
    <border diagonalUp="false" diagonalDown="false">
      <left/>
      <right style="medium"/>
      <top style="thin"/>
      <bottom style="thin"/>
      <diagonal/>
    </border>
    <border diagonalUp="false" diagonalDown="false">
      <left style="medium"/>
      <right/>
      <top style="thin"/>
      <bottom/>
      <diagonal/>
    </border>
    <border diagonalUp="false" diagonalDown="false">
      <left style="thin"/>
      <right style="medium"/>
      <top style="thin"/>
      <bottom style="thin"/>
      <diagonal/>
    </border>
    <border diagonalUp="false" diagonalDown="false">
      <left style="medium"/>
      <right style="medium"/>
      <top/>
      <bottom style="medium"/>
      <diagonal/>
    </border>
    <border diagonalUp="false" diagonalDown="false">
      <left style="medium"/>
      <right style="medium"/>
      <top/>
      <bottom/>
      <diagonal/>
    </border>
    <border diagonalUp="false" diagonalDown="false">
      <left style="medium"/>
      <right style="thin"/>
      <top/>
      <bottom/>
      <diagonal/>
    </border>
    <border diagonalUp="false" diagonalDown="false">
      <left style="thin"/>
      <right style="medium"/>
      <top/>
      <bottom/>
      <diagonal/>
    </border>
    <border diagonalUp="false" diagonalDown="false">
      <left style="medium"/>
      <right style="medium"/>
      <top style="thin"/>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style="medium"/>
      <top style="thin"/>
      <bottom style="medium"/>
      <diagonal/>
    </border>
    <border diagonalUp="false" diagonalDown="false">
      <left style="medium"/>
      <right style="thin"/>
      <top style="thin"/>
      <bottom style="thin"/>
      <diagonal/>
    </border>
    <border diagonalUp="false" diagonalDown="false">
      <left/>
      <right/>
      <top style="thin"/>
      <bottom/>
      <diagonal/>
    </border>
    <border diagonalUp="false" diagonalDown="false">
      <left style="thin"/>
      <right style="medium"/>
      <top style="thin"/>
      <bottom style="medium"/>
      <diagonal/>
    </border>
    <border diagonalUp="false" diagonalDown="false">
      <left style="thin"/>
      <right style="medium"/>
      <top style="medium"/>
      <bottom style="thin"/>
      <diagonal/>
    </border>
    <border diagonalUp="false" diagonalDown="false">
      <left/>
      <right/>
      <top style="medium"/>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false" indent="0" shrinkToFit="false"/>
      <protection locked="true" hidden="false"/>
    </xf>
    <xf numFmtId="165" fontId="4" fillId="2" borderId="0" xfId="0" applyFont="true" applyBorder="false" applyAlignment="true" applyProtection="true">
      <alignment horizontal="center" vertical="bottom" textRotation="0" wrapText="false" indent="0" shrinkToFit="false"/>
      <protection locked="true" hidden="false"/>
    </xf>
    <xf numFmtId="165" fontId="4" fillId="2" borderId="0" xfId="0" applyFont="true" applyBorder="false" applyAlignment="true" applyProtection="true">
      <alignment horizontal="left"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6" fontId="4" fillId="2" borderId="0" xfId="0" applyFont="true" applyBorder="false" applyAlignment="true" applyProtection="true">
      <alignment horizontal="center" vertical="bottom" textRotation="0" wrapText="false" indent="0" shrinkToFit="false"/>
      <protection locked="true" hidden="false"/>
    </xf>
    <xf numFmtId="167" fontId="6" fillId="2"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center" vertical="bottom" textRotation="0" wrapText="false" indent="0" shrinkToFit="false"/>
      <protection locked="true" hidden="false"/>
    </xf>
    <xf numFmtId="164" fontId="9" fillId="2" borderId="1" xfId="0" applyFont="true" applyBorder="true" applyAlignment="true" applyProtection="true">
      <alignment horizontal="center" vertical="center" textRotation="0" wrapText="false" indent="0" shrinkToFit="false"/>
      <protection locked="true" hidden="false"/>
    </xf>
    <xf numFmtId="164" fontId="4" fillId="3" borderId="2" xfId="0" applyFont="true" applyBorder="true" applyAlignment="true" applyProtection="true">
      <alignment horizontal="center" vertical="bottom" textRotation="0" wrapText="false" indent="0" shrinkToFit="false"/>
      <protection locked="true" hidden="false"/>
    </xf>
    <xf numFmtId="166" fontId="4" fillId="3" borderId="3" xfId="0" applyFont="true" applyBorder="true" applyAlignment="true" applyProtection="true">
      <alignment horizontal="center" vertical="bottom" textRotation="0" wrapText="false" indent="0" shrinkToFit="false"/>
      <protection locked="true" hidden="false"/>
    </xf>
    <xf numFmtId="165" fontId="10" fillId="4" borderId="4" xfId="0" applyFont="true" applyBorder="true" applyAlignment="true" applyProtection="true">
      <alignment horizontal="center" vertical="center" textRotation="0" wrapText="true" indent="0" shrinkToFit="false"/>
      <protection locked="true" hidden="false"/>
    </xf>
    <xf numFmtId="164" fontId="4" fillId="0" borderId="5"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5" fontId="4" fillId="0" borderId="6" xfId="0" applyFont="true" applyBorder="true" applyAlignment="true" applyProtection="true">
      <alignment horizontal="center" vertical="center" textRotation="0" wrapText="true" indent="0" shrinkToFit="false"/>
      <protection locked="true" hidden="false"/>
    </xf>
    <xf numFmtId="166" fontId="4" fillId="2" borderId="5" xfId="0" applyFont="true" applyBorder="true" applyAlignment="true" applyProtection="true">
      <alignment horizontal="center" vertical="center" textRotation="0" wrapText="true" indent="0" shrinkToFit="false"/>
      <protection locked="true" hidden="false"/>
    </xf>
    <xf numFmtId="164" fontId="11" fillId="4" borderId="7" xfId="0" applyFont="true" applyBorder="true" applyAlignment="true" applyProtection="true">
      <alignment horizontal="left" vertical="bottom" textRotation="0" wrapText="false" indent="0" shrinkToFit="false"/>
      <protection locked="true" hidden="false"/>
    </xf>
    <xf numFmtId="164" fontId="11" fillId="4" borderId="8" xfId="0" applyFont="true" applyBorder="true" applyAlignment="true" applyProtection="true">
      <alignment horizontal="left" vertical="bottom" textRotation="0" wrapText="false" indent="0" shrinkToFit="false"/>
      <protection locked="true" hidden="false"/>
    </xf>
    <xf numFmtId="164" fontId="4" fillId="5" borderId="7" xfId="0" applyFont="true" applyBorder="true" applyAlignment="true" applyProtection="true">
      <alignment horizontal="center" vertical="center" textRotation="0" wrapText="true" indent="0" shrinkToFit="false"/>
      <protection locked="true" hidden="false"/>
    </xf>
    <xf numFmtId="164" fontId="4" fillId="5" borderId="9" xfId="0" applyFont="true" applyBorder="true" applyAlignment="true" applyProtection="true">
      <alignment horizontal="center" vertical="center" textRotation="0" wrapText="true" indent="0" shrinkToFit="false"/>
      <protection locked="true" hidden="false"/>
    </xf>
    <xf numFmtId="165" fontId="4" fillId="5" borderId="9" xfId="0" applyFont="true" applyBorder="true" applyAlignment="true" applyProtection="true">
      <alignment horizontal="center" vertical="center" textRotation="0" wrapText="true" indent="0" shrinkToFit="false"/>
      <protection locked="true" hidden="false"/>
    </xf>
    <xf numFmtId="166" fontId="4" fillId="5" borderId="9" xfId="0" applyFont="true" applyBorder="true" applyAlignment="true" applyProtection="true">
      <alignment horizontal="center" vertical="center" textRotation="0" wrapText="true" indent="0" shrinkToFit="false"/>
      <protection locked="true" hidden="false"/>
    </xf>
    <xf numFmtId="165" fontId="4" fillId="5" borderId="10" xfId="0" applyFont="true" applyBorder="tru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0" fillId="0" borderId="11" xfId="0" applyFont="true" applyBorder="true" applyAlignment="true" applyProtection="true">
      <alignment horizontal="general" vertical="bottom" textRotation="0" wrapText="false" indent="0" shrinkToFit="false"/>
      <protection locked="true" hidden="false"/>
    </xf>
    <xf numFmtId="164" fontId="12" fillId="2" borderId="12" xfId="0" applyFont="true" applyBorder="true" applyAlignment="true" applyProtection="true">
      <alignment horizontal="general" vertical="bottom" textRotation="0" wrapText="false" indent="0" shrinkToFit="false"/>
      <protection locked="true" hidden="false"/>
    </xf>
    <xf numFmtId="164" fontId="12" fillId="2" borderId="13" xfId="0" applyFont="true" applyBorder="true" applyAlignment="true" applyProtection="true">
      <alignment horizontal="center" vertical="bottom" textRotation="0" wrapText="false" indent="0" shrinkToFit="false"/>
      <protection locked="true" hidden="false"/>
    </xf>
    <xf numFmtId="164" fontId="12" fillId="2" borderId="12" xfId="0" applyFont="true" applyBorder="true" applyAlignment="true" applyProtection="true">
      <alignment horizontal="center" vertical="bottom" textRotation="0" wrapText="false" indent="0" shrinkToFit="false"/>
      <protection locked="true" hidden="false"/>
    </xf>
    <xf numFmtId="168" fontId="12" fillId="2" borderId="14" xfId="0" applyFont="true" applyBorder="true" applyAlignment="true" applyProtection="true">
      <alignment horizontal="center" vertical="bottom" textRotation="0" wrapText="false" indent="0" shrinkToFit="false"/>
      <protection locked="true" hidden="false"/>
    </xf>
    <xf numFmtId="164" fontId="12" fillId="2" borderId="15" xfId="0" applyFont="true" applyBorder="true" applyAlignment="true" applyProtection="true">
      <alignment horizontal="center" vertical="bottom" textRotation="0" wrapText="false" indent="0" shrinkToFit="false"/>
      <protection locked="true" hidden="false"/>
    </xf>
    <xf numFmtId="165" fontId="4" fillId="0" borderId="10" xfId="0" applyFont="true" applyBorder="true" applyAlignment="true" applyProtection="true">
      <alignment horizontal="center" vertical="bottom" textRotation="0" wrapText="true" indent="0" shrinkToFit="false"/>
      <protection locked="true" hidden="false"/>
    </xf>
    <xf numFmtId="164" fontId="4" fillId="2" borderId="16" xfId="0" applyFont="true" applyBorder="true" applyAlignment="true" applyProtection="true">
      <alignment horizontal="general" vertical="bottom" textRotation="0" wrapText="true" indent="0" shrinkToFit="false"/>
      <protection locked="true" hidden="false"/>
    </xf>
    <xf numFmtId="164" fontId="4" fillId="2" borderId="17" xfId="0" applyFont="true" applyBorder="true" applyAlignment="true" applyProtection="true">
      <alignment horizontal="general" vertical="bottom" textRotation="0" wrapText="true" indent="0" shrinkToFit="false"/>
      <protection locked="true" hidden="false"/>
    </xf>
    <xf numFmtId="169" fontId="4" fillId="2" borderId="0" xfId="0" applyFont="true" applyBorder="false" applyAlignment="true" applyProtection="true">
      <alignment horizontal="center" vertical="bottom" textRotation="0" wrapText="true" indent="0" shrinkToFit="false"/>
      <protection locked="true" hidden="false"/>
    </xf>
    <xf numFmtId="164" fontId="12" fillId="2" borderId="18" xfId="0" applyFont="true" applyBorder="true" applyAlignment="true" applyProtection="true">
      <alignment horizontal="center" vertical="bottom" textRotation="0" wrapText="false" indent="0" shrinkToFit="false"/>
      <protection locked="true" hidden="false"/>
    </xf>
    <xf numFmtId="164" fontId="12" fillId="0" borderId="11" xfId="0" applyFont="true" applyBorder="true" applyAlignment="true" applyProtection="true">
      <alignment horizontal="general" vertical="bottom" textRotation="0" wrapText="false" indent="0" shrinkToFit="false"/>
      <protection locked="true" hidden="false"/>
    </xf>
    <xf numFmtId="164" fontId="12" fillId="2" borderId="11" xfId="0" applyFont="true" applyBorder="true" applyAlignment="true" applyProtection="true">
      <alignment horizontal="general" vertical="bottom" textRotation="0" wrapText="false" indent="0" shrinkToFit="false"/>
      <protection locked="true" hidden="false"/>
    </xf>
    <xf numFmtId="164" fontId="4" fillId="2" borderId="19" xfId="0" applyFont="true" applyBorder="true" applyAlignment="true" applyProtection="true">
      <alignment horizontal="general" vertical="bottom" textRotation="0" wrapText="true" indent="0" shrinkToFit="false"/>
      <protection locked="true" hidden="false"/>
    </xf>
    <xf numFmtId="164" fontId="4" fillId="2" borderId="20" xfId="0" applyFont="true" applyBorder="true" applyAlignment="true" applyProtection="true">
      <alignment horizontal="general" vertical="bottom" textRotation="0" wrapText="true" indent="0" shrinkToFit="false"/>
      <protection locked="true" hidden="false"/>
    </xf>
    <xf numFmtId="165" fontId="4" fillId="0" borderId="10" xfId="0" applyFont="true" applyBorder="true" applyAlignment="true" applyProtection="true">
      <alignment horizontal="left" vertical="bottom" textRotation="0" wrapText="true" indent="0" shrinkToFit="false"/>
      <protection locked="true" hidden="false"/>
    </xf>
    <xf numFmtId="164" fontId="11" fillId="4" borderId="10" xfId="0" applyFont="true" applyBorder="true" applyAlignment="true" applyProtection="true">
      <alignment horizontal="left" vertical="bottom" textRotation="0" wrapText="false" indent="0" shrinkToFit="false"/>
      <protection locked="true" hidden="false"/>
    </xf>
    <xf numFmtId="164" fontId="4" fillId="3" borderId="4" xfId="0" applyFont="true" applyBorder="true" applyAlignment="true" applyProtection="true">
      <alignment horizontal="center" vertical="bottom" textRotation="0" wrapText="false" indent="0" shrinkToFit="false"/>
      <protection locked="true" hidden="false"/>
    </xf>
    <xf numFmtId="166" fontId="4" fillId="3" borderId="1" xfId="0" applyFont="true" applyBorder="true" applyAlignment="true" applyProtection="true">
      <alignment horizontal="center" vertical="bottom" textRotation="0" wrapText="false" indent="0" shrinkToFit="false"/>
      <protection locked="true" hidden="false"/>
    </xf>
    <xf numFmtId="164" fontId="4" fillId="2" borderId="16" xfId="0" applyFont="true" applyBorder="true" applyAlignment="true" applyProtection="true">
      <alignment horizontal="center" vertical="bottom" textRotation="0" wrapText="false" indent="0" shrinkToFit="false"/>
      <protection locked="true" hidden="false"/>
    </xf>
    <xf numFmtId="164" fontId="4" fillId="2" borderId="17" xfId="0" applyFont="true" applyBorder="true" applyAlignment="true" applyProtection="true">
      <alignment horizontal="center" vertical="bottom" textRotation="0" wrapText="false" indent="0" shrinkToFit="false"/>
      <protection locked="true" hidden="false"/>
    </xf>
    <xf numFmtId="164" fontId="4" fillId="0" borderId="7" xfId="0" applyFont="true" applyBorder="true" applyAlignment="true" applyProtection="true">
      <alignment horizontal="center" vertical="center" textRotation="0" wrapText="true" indent="0" shrinkToFit="false"/>
      <protection locked="true" hidden="false"/>
    </xf>
    <xf numFmtId="164" fontId="4" fillId="0" borderId="9" xfId="0" applyFont="true" applyBorder="true" applyAlignment="true" applyProtection="true">
      <alignment horizontal="center" vertical="center" textRotation="0" wrapText="true" indent="0" shrinkToFit="false"/>
      <protection locked="true" hidden="false"/>
    </xf>
    <xf numFmtId="165" fontId="4" fillId="0" borderId="21" xfId="0" applyFont="true" applyBorder="true" applyAlignment="true" applyProtection="true">
      <alignment horizontal="center" vertical="center" textRotation="0" wrapText="true" indent="0" shrinkToFit="false"/>
      <protection locked="true" hidden="false"/>
    </xf>
    <xf numFmtId="166" fontId="4" fillId="2" borderId="7" xfId="0" applyFont="true" applyBorder="true" applyAlignment="true" applyProtection="true">
      <alignment horizontal="center" vertical="center" textRotation="0" wrapText="true" indent="0" shrinkToFit="false"/>
      <protection locked="true" hidden="false"/>
    </xf>
    <xf numFmtId="164" fontId="12" fillId="2" borderId="22" xfId="0" applyFont="true" applyBorder="true" applyAlignment="true" applyProtection="true">
      <alignment horizontal="general" vertical="bottom" textRotation="0" wrapText="false" indent="0" shrinkToFit="false"/>
      <protection locked="true" hidden="false"/>
    </xf>
    <xf numFmtId="164" fontId="12" fillId="2" borderId="23" xfId="0" applyFont="true" applyBorder="true" applyAlignment="true" applyProtection="true">
      <alignment horizontal="center" vertical="bottom" textRotation="0" wrapText="false" indent="0" shrinkToFit="false"/>
      <protection locked="true" hidden="false"/>
    </xf>
    <xf numFmtId="164" fontId="12" fillId="2" borderId="19" xfId="0" applyFont="true" applyBorder="true" applyAlignment="true" applyProtection="true">
      <alignment horizontal="general" vertical="bottom" textRotation="0" wrapText="false" indent="0" shrinkToFit="false"/>
      <protection locked="true" hidden="false"/>
    </xf>
    <xf numFmtId="164" fontId="12" fillId="2" borderId="16" xfId="0" applyFont="true" applyBorder="true" applyAlignment="true" applyProtection="true">
      <alignment horizontal="center" vertical="bottom" textRotation="0" wrapText="false" indent="0" shrinkToFit="false"/>
      <protection locked="true" hidden="false"/>
    </xf>
    <xf numFmtId="164" fontId="12" fillId="2" borderId="17" xfId="0" applyFont="true" applyBorder="true" applyAlignment="true" applyProtection="true">
      <alignment horizontal="center" vertical="bottom" textRotation="0" wrapText="false" indent="0" shrinkToFit="false"/>
      <protection locked="true" hidden="false"/>
    </xf>
    <xf numFmtId="168" fontId="12" fillId="2" borderId="24" xfId="0" applyFont="true" applyBorder="true" applyAlignment="true" applyProtection="true">
      <alignment horizontal="center" vertical="bottom" textRotation="0" wrapText="false" indent="0" shrinkToFit="false"/>
      <protection locked="true" hidden="false"/>
    </xf>
    <xf numFmtId="164" fontId="12" fillId="2" borderId="20" xfId="0" applyFont="true" applyBorder="true" applyAlignment="true" applyProtection="true">
      <alignment horizontal="center" vertical="bottom" textRotation="0" wrapText="false" indent="0" shrinkToFit="false"/>
      <protection locked="true" hidden="false"/>
    </xf>
    <xf numFmtId="165" fontId="4" fillId="0" borderId="25" xfId="0" applyFont="true" applyBorder="true" applyAlignment="true" applyProtection="true">
      <alignment horizontal="center" vertical="bottom" textRotation="0" wrapText="true" indent="0" shrinkToFit="false"/>
      <protection locked="true" hidden="false"/>
    </xf>
    <xf numFmtId="164" fontId="11" fillId="4" borderId="25" xfId="0" applyFont="true" applyBorder="true" applyAlignment="true" applyProtection="true">
      <alignment horizontal="left" vertical="bottom" textRotation="0" wrapText="false" indent="0" shrinkToFit="false"/>
      <protection locked="true" hidden="false"/>
    </xf>
    <xf numFmtId="164" fontId="4" fillId="3" borderId="26" xfId="0" applyFont="true" applyBorder="true" applyAlignment="true" applyProtection="true">
      <alignment horizontal="center" vertical="bottom" textRotation="0" wrapText="false" indent="0" shrinkToFit="false"/>
      <protection locked="true" hidden="false"/>
    </xf>
    <xf numFmtId="166" fontId="4" fillId="3" borderId="5" xfId="0" applyFont="true" applyBorder="true" applyAlignment="true" applyProtection="true">
      <alignment horizontal="center" vertical="bottom" textRotation="0" wrapText="false" indent="0" shrinkToFit="false"/>
      <protection locked="true" hidden="false"/>
    </xf>
    <xf numFmtId="165" fontId="10" fillId="4" borderId="26" xfId="0" applyFont="true" applyBorder="true" applyAlignment="true" applyProtection="true">
      <alignment horizontal="center" vertical="center" textRotation="0" wrapText="true" indent="0" shrinkToFit="false"/>
      <protection locked="true" hidden="false"/>
    </xf>
    <xf numFmtId="164" fontId="11" fillId="4" borderId="10" xfId="0" applyFont="true" applyBorder="true" applyAlignment="true" applyProtection="true">
      <alignment horizontal="left" vertical="bottom" textRotation="0" wrapText="true" indent="0" shrinkToFit="false"/>
      <protection locked="true" hidden="false"/>
    </xf>
    <xf numFmtId="165" fontId="4" fillId="2" borderId="10" xfId="0" applyFont="true" applyBorder="true" applyAlignment="true" applyProtection="true">
      <alignment horizontal="center" vertical="bottom" textRotation="0" wrapText="true" indent="0" shrinkToFit="false"/>
      <protection locked="true" hidden="false"/>
    </xf>
    <xf numFmtId="165" fontId="4" fillId="2" borderId="10" xfId="0" applyFont="true" applyBorder="true" applyAlignment="true" applyProtection="true">
      <alignment horizontal="left" vertical="bottom" textRotation="0" wrapText="true" indent="0" shrinkToFit="false"/>
      <protection locked="true" hidden="false"/>
    </xf>
    <xf numFmtId="165" fontId="4" fillId="2" borderId="10" xfId="0" applyFont="true" applyBorder="true" applyAlignment="true" applyProtection="true">
      <alignment horizontal="center" vertical="bottom" textRotation="0" wrapText="false" indent="0" shrinkToFit="false"/>
      <protection locked="true" hidden="false"/>
    </xf>
    <xf numFmtId="164" fontId="4" fillId="2" borderId="16" xfId="0" applyFont="true" applyBorder="true" applyAlignment="true" applyProtection="true">
      <alignment horizontal="general" vertical="bottom" textRotation="0" wrapText="false" indent="0" shrinkToFit="false"/>
      <protection locked="true" hidden="false"/>
    </xf>
    <xf numFmtId="164" fontId="4" fillId="2" borderId="17" xfId="0" applyFont="true" applyBorder="true" applyAlignment="true" applyProtection="true">
      <alignment horizontal="general" vertical="bottom" textRotation="0" wrapText="false" indent="0" shrinkToFit="false"/>
      <protection locked="true" hidden="false"/>
    </xf>
    <xf numFmtId="164" fontId="12" fillId="2" borderId="27" xfId="0" applyFont="true" applyBorder="true" applyAlignment="true" applyProtection="true">
      <alignment horizontal="center" vertical="bottom" textRotation="0" wrapText="false" indent="0" shrinkToFit="false"/>
      <protection locked="true" hidden="false"/>
    </xf>
    <xf numFmtId="164" fontId="12" fillId="2" borderId="0" xfId="0" applyFont="true" applyBorder="false" applyAlignment="true" applyProtection="true">
      <alignment horizontal="center" vertical="bottom" textRotation="0" wrapText="false" indent="0" shrinkToFit="false"/>
      <protection locked="true" hidden="false"/>
    </xf>
    <xf numFmtId="168" fontId="12" fillId="2" borderId="28" xfId="0" applyFont="true" applyBorder="true" applyAlignment="true" applyProtection="true">
      <alignment horizontal="center" vertical="bottom" textRotation="0" wrapText="false" indent="0" shrinkToFit="false"/>
      <protection locked="true" hidden="false"/>
    </xf>
    <xf numFmtId="165" fontId="4" fillId="0" borderId="4" xfId="0" applyFont="true" applyBorder="true" applyAlignment="true" applyProtection="true">
      <alignment horizontal="left" vertical="bottom" textRotation="0" wrapText="true" indent="0" shrinkToFit="false"/>
      <protection locked="true" hidden="false"/>
    </xf>
    <xf numFmtId="164" fontId="12" fillId="2" borderId="16" xfId="0" applyFont="true" applyBorder="true" applyAlignment="true" applyProtection="true">
      <alignment horizontal="general" vertical="bottom" textRotation="0" wrapText="false" indent="0" shrinkToFit="false"/>
      <protection locked="true" hidden="false"/>
    </xf>
    <xf numFmtId="168" fontId="12" fillId="2" borderId="17" xfId="0" applyFont="true" applyBorder="true" applyAlignment="true" applyProtection="true">
      <alignment horizontal="center" vertical="bottom" textRotation="0" wrapText="false" indent="0" shrinkToFit="false"/>
      <protection locked="true" hidden="false"/>
    </xf>
    <xf numFmtId="164" fontId="12" fillId="2" borderId="19" xfId="0" applyFont="true" applyBorder="true" applyAlignment="true" applyProtection="true">
      <alignment horizontal="center" vertical="bottom" textRotation="0" wrapText="false" indent="0" shrinkToFit="false"/>
      <protection locked="true" hidden="false"/>
    </xf>
    <xf numFmtId="165" fontId="4" fillId="0" borderId="29" xfId="0" applyFont="true" applyBorder="true" applyAlignment="true" applyProtection="true">
      <alignment horizontal="left" vertical="bottom" textRotation="0" wrapText="true" indent="0" shrinkToFit="false"/>
      <protection locked="true" hidden="false"/>
    </xf>
    <xf numFmtId="164" fontId="11" fillId="4" borderId="25" xfId="0" applyFont="true" applyBorder="true" applyAlignment="true" applyProtection="true">
      <alignment horizontal="left" vertical="bottom" textRotation="0" wrapText="true" indent="0" shrinkToFit="false"/>
      <protection locked="true" hidden="false"/>
    </xf>
    <xf numFmtId="165" fontId="4" fillId="0" borderId="10" xfId="0" applyFont="true" applyBorder="true" applyAlignment="true" applyProtection="true">
      <alignment horizontal="center" vertical="bottom" textRotation="0" wrapText="false" indent="0" shrinkToFit="false"/>
      <protection locked="true" hidden="false"/>
    </xf>
    <xf numFmtId="165" fontId="4" fillId="0" borderId="4" xfId="0" applyFont="true" applyBorder="true" applyAlignment="true" applyProtection="true">
      <alignment horizontal="center" vertical="bottom" textRotation="0" wrapText="false" indent="0" shrinkToFit="false"/>
      <protection locked="true" hidden="false"/>
    </xf>
    <xf numFmtId="164" fontId="12" fillId="2" borderId="30" xfId="0" applyFont="true" applyBorder="true" applyAlignment="true" applyProtection="true">
      <alignment horizontal="general" vertical="bottom" textRotation="0" wrapText="false" indent="0" shrinkToFit="false"/>
      <protection locked="true" hidden="false"/>
    </xf>
    <xf numFmtId="164" fontId="12" fillId="2" borderId="31" xfId="0" applyFont="true" applyBorder="true" applyAlignment="true" applyProtection="true">
      <alignment horizontal="center" vertical="bottom" textRotation="0" wrapText="false" indent="0" shrinkToFit="false"/>
      <protection locked="true" hidden="false"/>
    </xf>
    <xf numFmtId="165" fontId="4" fillId="0" borderId="29" xfId="0" applyFont="true" applyBorder="true" applyAlignment="true" applyProtection="true">
      <alignment horizontal="center" vertical="bottom" textRotation="0" wrapText="true" indent="0" shrinkToFit="false"/>
      <protection locked="true" hidden="false"/>
    </xf>
    <xf numFmtId="164" fontId="12" fillId="2" borderId="24" xfId="0" applyFont="true" applyBorder="true" applyAlignment="true" applyProtection="true">
      <alignment horizontal="general" vertical="bottom" textRotation="0" wrapText="true" indent="0" shrinkToFit="false"/>
      <protection locked="true" hidden="false"/>
    </xf>
    <xf numFmtId="164" fontId="4" fillId="2" borderId="17" xfId="0" applyFont="true" applyBorder="true" applyAlignment="true" applyProtection="true">
      <alignment horizontal="center" vertical="bottom" textRotation="0" wrapText="true" indent="0" shrinkToFit="false"/>
      <protection locked="true" hidden="false"/>
    </xf>
    <xf numFmtId="168" fontId="4" fillId="2" borderId="24" xfId="0" applyFont="true" applyBorder="true" applyAlignment="true" applyProtection="true">
      <alignment horizontal="center" vertical="bottom" textRotation="0" wrapText="true" indent="0" shrinkToFit="false"/>
      <protection locked="true" hidden="false"/>
    </xf>
    <xf numFmtId="165" fontId="4" fillId="2" borderId="29" xfId="0" applyFont="true" applyBorder="true" applyAlignment="true" applyProtection="true">
      <alignment horizontal="center" vertical="bottom" textRotation="0" wrapText="true" indent="0" shrinkToFit="false"/>
      <protection locked="true" hidden="false"/>
    </xf>
    <xf numFmtId="164" fontId="10" fillId="0" borderId="16" xfId="0" applyFont="true" applyBorder="true" applyAlignment="true" applyProtection="true">
      <alignment horizontal="general" vertical="bottom" textRotation="0" wrapText="true" indent="0" shrinkToFit="false"/>
      <protection locked="true" hidden="false"/>
    </xf>
    <xf numFmtId="164" fontId="10" fillId="0" borderId="17" xfId="0" applyFont="true" applyBorder="true" applyAlignment="true" applyProtection="true">
      <alignment horizontal="general" vertical="bottom" textRotation="0" wrapText="true" indent="0" shrinkToFit="false"/>
      <protection locked="true" hidden="false"/>
    </xf>
    <xf numFmtId="168" fontId="10" fillId="0" borderId="24" xfId="0" applyFont="true" applyBorder="true" applyAlignment="true" applyProtection="true">
      <alignment horizontal="center" vertical="bottom" textRotation="0" wrapText="true" indent="0" shrinkToFit="false"/>
      <protection locked="true" hidden="false"/>
    </xf>
    <xf numFmtId="165" fontId="10" fillId="0" borderId="20" xfId="0" applyFont="true" applyBorder="true" applyAlignment="true" applyProtection="true">
      <alignment horizontal="left" vertical="bottom" textRotation="0" wrapText="true" indent="0" shrinkToFit="false"/>
      <protection locked="true" hidden="false"/>
    </xf>
    <xf numFmtId="164" fontId="4" fillId="0" borderId="16" xfId="0" applyFont="true" applyBorder="true" applyAlignment="true" applyProtection="true">
      <alignment horizontal="left" vertical="bottom" textRotation="0" wrapText="true" indent="0" shrinkToFit="false"/>
      <protection locked="true" hidden="false"/>
    </xf>
    <xf numFmtId="164" fontId="4" fillId="0" borderId="17" xfId="0" applyFont="true" applyBorder="true" applyAlignment="true" applyProtection="true">
      <alignment horizontal="left" vertical="bottom" textRotation="0" wrapText="true" indent="0" shrinkToFit="false"/>
      <protection locked="true" hidden="false"/>
    </xf>
    <xf numFmtId="168" fontId="4" fillId="0" borderId="24" xfId="0" applyFont="true" applyBorder="true" applyAlignment="true" applyProtection="true">
      <alignment horizontal="center" vertical="bottom" textRotation="0" wrapText="true" indent="0" shrinkToFit="false"/>
      <protection locked="true" hidden="false"/>
    </xf>
    <xf numFmtId="164" fontId="4" fillId="0" borderId="20" xfId="0" applyFont="true" applyBorder="true" applyAlignment="true" applyProtection="true">
      <alignment horizontal="general" vertical="bottom" textRotation="0" wrapText="true" indent="0" shrinkToFit="false"/>
      <protection locked="true" hidden="false"/>
    </xf>
    <xf numFmtId="164" fontId="12" fillId="2" borderId="24" xfId="0" applyFont="true" applyBorder="true" applyAlignment="true" applyProtection="true">
      <alignment horizontal="general" vertical="bottom" textRotation="0" wrapText="false" indent="0" shrinkToFit="false"/>
      <protection locked="true" hidden="false"/>
    </xf>
    <xf numFmtId="164" fontId="4" fillId="2" borderId="16" xfId="0" applyFont="true" applyBorder="true" applyAlignment="true" applyProtection="true">
      <alignment horizontal="center" vertical="bottom" textRotation="0" wrapText="true" indent="0" shrinkToFit="false"/>
      <protection locked="true" hidden="false"/>
    </xf>
    <xf numFmtId="165" fontId="4" fillId="2" borderId="20" xfId="0" applyFont="true" applyBorder="true" applyAlignment="true" applyProtection="true">
      <alignment horizontal="left" vertical="bottom" textRotation="0" wrapText="true" indent="0" shrinkToFit="false"/>
      <protection locked="true" hidden="false"/>
    </xf>
    <xf numFmtId="168" fontId="4" fillId="2" borderId="24" xfId="0" applyFont="true" applyBorder="true" applyAlignment="true" applyProtection="true">
      <alignment horizontal="center" vertical="bottom" textRotation="0" wrapText="false" indent="0" shrinkToFit="false"/>
      <protection locked="true" hidden="false"/>
    </xf>
    <xf numFmtId="165" fontId="4" fillId="2" borderId="20" xfId="0" applyFont="true" applyBorder="true" applyAlignment="true" applyProtection="true">
      <alignment horizontal="left" vertical="bottom" textRotation="0" wrapText="false" indent="0" shrinkToFit="false"/>
      <protection locked="true" hidden="false"/>
    </xf>
    <xf numFmtId="165" fontId="4" fillId="2" borderId="32"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5" fontId="4" fillId="0" borderId="0" xfId="0" applyFont="true" applyBorder="false" applyAlignment="true" applyProtection="true">
      <alignment horizontal="left" vertical="bottom" textRotation="0" wrapText="false" indent="0" shrinkToFit="false"/>
      <protection locked="true" hidden="false"/>
    </xf>
    <xf numFmtId="170" fontId="4" fillId="0" borderId="0" xfId="0" applyFont="true" applyBorder="false" applyAlignment="true" applyProtection="true">
      <alignment horizontal="center" vertical="bottom" textRotation="0" wrapText="false" indent="0" shrinkToFit="false"/>
      <protection locked="true" hidden="false"/>
    </xf>
    <xf numFmtId="166" fontId="4" fillId="0" borderId="0" xfId="0" applyFont="true" applyBorder="false" applyAlignment="true" applyProtection="true">
      <alignment horizontal="center"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70" fontId="4" fillId="2" borderId="0" xfId="0" applyFont="true" applyBorder="false" applyAlignment="true" applyProtection="true">
      <alignment horizontal="center" vertical="bottom" textRotation="0" wrapText="false" indent="0" shrinkToFit="false"/>
      <protection locked="true" hidden="false"/>
    </xf>
    <xf numFmtId="165" fontId="4" fillId="2" borderId="0" xfId="0" applyFont="true" applyBorder="false" applyAlignment="true" applyProtection="true">
      <alignment horizontal="general" vertical="bottom" textRotation="0" wrapText="false" indent="0" shrinkToFit="false"/>
      <protection locked="true" hidden="false"/>
    </xf>
    <xf numFmtId="167" fontId="6" fillId="2" borderId="10" xfId="0" applyFont="true" applyBorder="true" applyAlignment="true" applyProtection="true">
      <alignment horizontal="center"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true" indent="0" shrinkToFit="false"/>
      <protection locked="true" hidden="false"/>
    </xf>
    <xf numFmtId="170" fontId="4" fillId="2" borderId="0" xfId="0" applyFont="true" applyBorder="false" applyAlignment="true" applyProtection="true">
      <alignment horizontal="center" vertical="bottom" textRotation="0" wrapText="true" indent="0" shrinkToFit="false"/>
      <protection locked="true" hidden="false"/>
    </xf>
    <xf numFmtId="165" fontId="4" fillId="2" borderId="0" xfId="0" applyFont="true" applyBorder="false" applyAlignment="true" applyProtection="true">
      <alignment horizontal="center" vertical="bottom" textRotation="0" wrapText="true" indent="0" shrinkToFit="false"/>
      <protection locked="true" hidden="false"/>
    </xf>
    <xf numFmtId="164" fontId="9" fillId="2" borderId="4" xfId="0" applyFont="true" applyBorder="true" applyAlignment="true" applyProtection="true">
      <alignment horizontal="center" vertical="center" textRotation="0" wrapText="false" indent="0" shrinkToFit="false"/>
      <protection locked="true" hidden="false"/>
    </xf>
    <xf numFmtId="164" fontId="12" fillId="0" borderId="19" xfId="0" applyFont="true" applyBorder="true" applyAlignment="true" applyProtection="true">
      <alignment horizontal="general" vertical="bottom" textRotation="0" wrapText="false" indent="0" shrinkToFit="false"/>
      <protection locked="true" hidden="false"/>
    </xf>
    <xf numFmtId="164" fontId="0" fillId="0" borderId="20" xfId="0" applyFont="false" applyBorder="true" applyAlignment="true" applyProtection="true">
      <alignment horizontal="general" vertical="bottom" textRotation="0" wrapText="false" indent="0" shrinkToFit="false"/>
      <protection locked="true" hidden="false"/>
    </xf>
    <xf numFmtId="164" fontId="0" fillId="0" borderId="22" xfId="0" applyFont="false" applyBorder="true" applyAlignment="true" applyProtection="true">
      <alignment horizontal="general" vertical="bottom" textRotation="0" wrapText="false" indent="0" shrinkToFit="false"/>
      <protection locked="true" hidden="false"/>
    </xf>
    <xf numFmtId="164" fontId="12" fillId="2" borderId="33" xfId="0" applyFont="true" applyBorder="true" applyAlignment="true" applyProtection="true">
      <alignment horizontal="center" vertical="bottom" textRotation="0" wrapText="false" indent="0" shrinkToFit="false"/>
      <protection locked="true" hidden="false"/>
    </xf>
    <xf numFmtId="165" fontId="12" fillId="2" borderId="24" xfId="0" applyFont="true" applyBorder="true" applyAlignment="true" applyProtection="true">
      <alignment horizontal="left" vertical="bottom" textRotation="0" wrapText="false" indent="0" shrinkToFit="false"/>
      <protection locked="true" hidden="false"/>
    </xf>
    <xf numFmtId="170" fontId="12" fillId="0" borderId="20" xfId="0" applyFont="true" applyBorder="true" applyAlignment="true" applyProtection="true">
      <alignment horizontal="center" vertical="bottom" textRotation="0" wrapText="false" indent="0" shrinkToFit="false"/>
      <protection locked="true" hidden="false"/>
    </xf>
    <xf numFmtId="166" fontId="12" fillId="0" borderId="33" xfId="0" applyFont="true" applyBorder="true" applyAlignment="true" applyProtection="true">
      <alignment horizontal="center" vertical="bottom" textRotation="0" wrapText="false" indent="0" shrinkToFit="false"/>
      <protection locked="true" hidden="false"/>
    </xf>
    <xf numFmtId="164" fontId="12" fillId="0" borderId="24" xfId="0" applyFont="true" applyBorder="true" applyAlignment="true" applyProtection="true">
      <alignment horizontal="general" vertical="bottom" textRotation="0" wrapText="false" indent="0" shrinkToFit="false"/>
      <protection locked="true" hidden="false"/>
    </xf>
    <xf numFmtId="164" fontId="0" fillId="0" borderId="19" xfId="0" applyFont="false" applyBorder="true" applyAlignment="true" applyProtection="true">
      <alignment horizontal="general" vertical="bottom" textRotation="0" wrapText="false" indent="0" shrinkToFit="false"/>
      <protection locked="true" hidden="false"/>
    </xf>
    <xf numFmtId="164" fontId="12" fillId="2" borderId="24" xfId="0" applyFont="true" applyBorder="true" applyAlignment="true" applyProtection="true">
      <alignment horizontal="left" vertical="bottom" textRotation="0" wrapText="false" indent="0" shrinkToFit="false"/>
      <protection locked="true" hidden="false"/>
    </xf>
    <xf numFmtId="164" fontId="12" fillId="2" borderId="30" xfId="0" applyFont="true" applyBorder="true" applyAlignment="true" applyProtection="true">
      <alignment horizontal="left" vertical="bottom" textRotation="0" wrapText="false" indent="0" shrinkToFit="false"/>
      <protection locked="true" hidden="false"/>
    </xf>
    <xf numFmtId="164" fontId="12" fillId="2" borderId="34" xfId="0" applyFont="true" applyBorder="true" applyAlignment="true" applyProtection="true">
      <alignment horizontal="left" vertical="bottom" textRotation="0" wrapText="false" indent="0" shrinkToFit="false"/>
      <protection locked="true" hidden="false"/>
    </xf>
    <xf numFmtId="164" fontId="12" fillId="2" borderId="31" xfId="0" applyFont="true" applyBorder="true" applyAlignment="true" applyProtection="true">
      <alignment horizontal="left" vertical="bottom" textRotation="0" wrapText="false" indent="0" shrinkToFit="false"/>
      <protection locked="true" hidden="false"/>
    </xf>
    <xf numFmtId="164" fontId="12" fillId="2" borderId="20" xfId="0" applyFont="true" applyBorder="true" applyAlignment="true" applyProtection="true">
      <alignment horizontal="left" vertical="bottom" textRotation="0" wrapText="false" indent="0" shrinkToFit="false"/>
      <protection locked="true" hidden="false"/>
    </xf>
    <xf numFmtId="164" fontId="12" fillId="2" borderId="35" xfId="0" applyFont="true" applyBorder="true" applyAlignment="true" applyProtection="true">
      <alignment horizontal="general" vertical="bottom" textRotation="0" wrapText="false" indent="0" shrinkToFit="false"/>
      <protection locked="true" hidden="false"/>
    </xf>
    <xf numFmtId="164" fontId="10" fillId="4" borderId="4" xfId="0" applyFont="true" applyBorder="true" applyAlignment="true" applyProtection="true">
      <alignment horizontal="center" vertical="center" textRotation="0" wrapText="true" indent="0" shrinkToFit="false"/>
      <protection locked="true" hidden="false"/>
    </xf>
    <xf numFmtId="164" fontId="12" fillId="2" borderId="36" xfId="0" applyFont="true" applyBorder="true" applyAlignment="true" applyProtection="true">
      <alignment horizontal="left" vertical="bottom" textRotation="0" wrapText="false" indent="0" shrinkToFit="false"/>
      <protection locked="true" hidden="false"/>
    </xf>
    <xf numFmtId="170" fontId="12" fillId="2" borderId="20" xfId="0" applyFont="true" applyBorder="true" applyAlignment="true" applyProtection="true">
      <alignment horizontal="center" vertical="bottom" textRotation="0" wrapText="false" indent="0" shrinkToFit="false"/>
      <protection locked="true" hidden="false"/>
    </xf>
    <xf numFmtId="164" fontId="0" fillId="0" borderId="24" xfId="0" applyFont="true" applyBorder="true" applyAlignment="true" applyProtection="true">
      <alignment horizontal="general" vertical="bottom" textRotation="0" wrapText="false" indent="0" shrinkToFit="false"/>
      <protection locked="true" hidden="false"/>
    </xf>
    <xf numFmtId="164" fontId="12" fillId="2" borderId="19" xfId="0" applyFont="true" applyBorder="true" applyAlignment="true" applyProtection="true">
      <alignment horizontal="left" vertical="bottom" textRotation="0" wrapText="false" indent="0" shrinkToFit="false"/>
      <protection locked="true" hidden="false"/>
    </xf>
    <xf numFmtId="164" fontId="12" fillId="2" borderId="22" xfId="0" applyFont="true" applyBorder="true" applyAlignment="true" applyProtection="true">
      <alignment horizontal="left" vertical="bottom" textRotation="0" wrapText="false" indent="0" shrinkToFit="false"/>
      <protection locked="true" hidden="false"/>
    </xf>
    <xf numFmtId="164" fontId="4" fillId="2" borderId="24" xfId="0" applyFont="true" applyBorder="true" applyAlignment="true" applyProtection="true">
      <alignment horizontal="left" vertical="bottom" textRotation="0" wrapText="false" indent="0" shrinkToFit="false"/>
      <protection locked="true" hidden="false"/>
    </xf>
    <xf numFmtId="164" fontId="12" fillId="2" borderId="37" xfId="0" applyFont="true" applyBorder="true" applyAlignment="true" applyProtection="true">
      <alignment horizontal="left" vertical="bottom" textRotation="0" wrapText="false" indent="0" shrinkToFit="false"/>
      <protection locked="true" hidden="false"/>
    </xf>
    <xf numFmtId="164" fontId="12" fillId="0" borderId="36" xfId="0" applyFont="true" applyBorder="true" applyAlignment="true" applyProtection="true">
      <alignment horizontal="general" vertical="bottom" textRotation="0" wrapText="false" indent="0" shrinkToFit="false"/>
      <protection locked="true" hidden="false"/>
    </xf>
    <xf numFmtId="164" fontId="12" fillId="0" borderId="20" xfId="0" applyFont="true" applyBorder="true" applyAlignment="true" applyProtection="true">
      <alignment horizontal="general" vertical="bottom" textRotation="0" wrapText="false" indent="0" shrinkToFit="false"/>
      <protection locked="true" hidden="false"/>
    </xf>
    <xf numFmtId="164" fontId="12" fillId="0" borderId="22"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9E2"/>
      <rgbColor rgb="FF808080"/>
      <rgbColor rgb="FF9999FF"/>
      <rgbColor rgb="FF993366"/>
      <rgbColor rgb="FFFFFFCC"/>
      <rgbColor rgb="FFCCFFFF"/>
      <rgbColor rgb="FF660066"/>
      <rgbColor rgb="FFFF8080"/>
      <rgbColor rgb="FF0066CC"/>
      <rgbColor rgb="FFCADC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76091"/>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3"/>
  <sheetViews>
    <sheetView showFormulas="false" showGridLines="false" showRowColHeaders="true" showZeros="true" rightToLeft="false" tabSelected="false" showOutlineSymbols="true" defaultGridColor="true" view="normal" topLeftCell="A21" colorId="64" zoomScale="100" zoomScaleNormal="100" zoomScalePageLayoutView="100" workbookViewId="0">
      <selection pane="topLeft" activeCell="A1" activeCellId="0" sqref="A1"/>
    </sheetView>
  </sheetViews>
  <sheetFormatPr defaultColWidth="9.1640625" defaultRowHeight="12.75" customHeight="true" zeroHeight="false" outlineLevelRow="0" outlineLevelCol="0"/>
  <cols>
    <col collapsed="false" customWidth="true" hidden="false" outlineLevel="0" max="2" min="1" style="1" width="3.5"/>
    <col collapsed="false" customWidth="true" hidden="false" outlineLevel="0" max="3" min="3" style="1" width="21.5"/>
    <col collapsed="false" customWidth="true" hidden="false" outlineLevel="0" max="4" min="4" style="1" width="12.67"/>
    <col collapsed="false" customWidth="true" hidden="false" outlineLevel="0" max="6" min="5" style="2" width="9.67"/>
    <col collapsed="false" customWidth="false" hidden="false" outlineLevel="0" max="7" min="7" style="3" width="9.16"/>
    <col collapsed="false" customWidth="true" hidden="false" outlineLevel="0" max="8" min="8" style="4" width="13.5"/>
    <col collapsed="false" customWidth="true" hidden="false" outlineLevel="0" max="9" min="9" style="1" width="12.83"/>
    <col collapsed="false" customWidth="true" hidden="true" outlineLevel="0" max="14" min="10" style="1" width="11.5"/>
    <col collapsed="false" customWidth="false" hidden="false" outlineLevel="0" max="16384" min="15" style="1" width="9.16"/>
  </cols>
  <sheetData>
    <row r="1" s="1" customFormat="true" ht="22.05" hidden="false" customHeight="false" outlineLevel="0" collapsed="false">
      <c r="C1" s="5" t="s">
        <v>0</v>
      </c>
      <c r="G1" s="2"/>
      <c r="H1" s="6"/>
      <c r="I1" s="4"/>
    </row>
    <row r="2" s="1" customFormat="true" ht="12.75" hidden="false" customHeight="false" outlineLevel="0" collapsed="false">
      <c r="C2" s="1" t="s">
        <v>1</v>
      </c>
      <c r="G2" s="2"/>
      <c r="H2" s="6" t="s">
        <v>2</v>
      </c>
      <c r="I2" s="4"/>
    </row>
    <row r="3" s="1" customFormat="true" ht="12.75" hidden="false" customHeight="false" outlineLevel="0" collapsed="false">
      <c r="D3" s="7"/>
      <c r="G3" s="8"/>
      <c r="H3" s="6"/>
      <c r="I3" s="4"/>
    </row>
    <row r="4" customFormat="false" ht="12.75" hidden="false" customHeight="false" outlineLevel="0" collapsed="false">
      <c r="C4" s="9"/>
      <c r="D4" s="10"/>
      <c r="E4" s="11"/>
      <c r="F4" s="11"/>
    </row>
    <row r="5" s="2" customFormat="true" ht="17.25" hidden="false" customHeight="true" outlineLevel="0" collapsed="false">
      <c r="C5" s="12" t="s">
        <v>3</v>
      </c>
      <c r="D5" s="12"/>
      <c r="E5" s="13"/>
      <c r="F5" s="13"/>
      <c r="G5" s="13"/>
      <c r="H5" s="14"/>
      <c r="I5" s="15" t="s">
        <v>4</v>
      </c>
    </row>
    <row r="6" s="2" customFormat="true" ht="13.5" hidden="false" customHeight="true" outlineLevel="0" collapsed="false">
      <c r="C6" s="12"/>
      <c r="D6" s="12"/>
      <c r="E6" s="16" t="s">
        <v>5</v>
      </c>
      <c r="F6" s="17" t="s">
        <v>6</v>
      </c>
      <c r="G6" s="18" t="s">
        <v>7</v>
      </c>
      <c r="H6" s="19" t="s">
        <v>8</v>
      </c>
      <c r="I6" s="15"/>
      <c r="M6" s="2" t="s">
        <v>9</v>
      </c>
    </row>
    <row r="7" s="2" customFormat="true" ht="20.25" hidden="false" customHeight="true" outlineLevel="0" collapsed="false">
      <c r="C7" s="20" t="s">
        <v>10</v>
      </c>
      <c r="D7" s="21"/>
      <c r="E7" s="22"/>
      <c r="F7" s="23"/>
      <c r="G7" s="24"/>
      <c r="H7" s="25"/>
      <c r="I7" s="26"/>
      <c r="J7" s="2" t="s">
        <v>11</v>
      </c>
      <c r="K7" s="2" t="s">
        <v>12</v>
      </c>
      <c r="L7" s="2" t="s">
        <v>13</v>
      </c>
      <c r="M7" s="2" t="s">
        <v>14</v>
      </c>
      <c r="N7" s="2" t="s">
        <v>15</v>
      </c>
    </row>
    <row r="8" s="27" customFormat="true" ht="12.75" hidden="false" customHeight="false" outlineLevel="0" collapsed="false">
      <c r="C8" s="28" t="s">
        <v>16</v>
      </c>
      <c r="D8" s="29"/>
      <c r="E8" s="30"/>
      <c r="F8" s="31"/>
      <c r="G8" s="32"/>
      <c r="H8" s="33"/>
      <c r="I8" s="34" t="s">
        <v>13</v>
      </c>
      <c r="J8" s="35"/>
      <c r="K8" s="36"/>
      <c r="L8" s="36"/>
      <c r="M8" s="36" t="n">
        <f aca="false">MIN(J8:L8)</f>
        <v>0</v>
      </c>
      <c r="N8" s="37" t="e">
        <f aca="false">SUM(M8/E8)</f>
        <v>#DIV/0!</v>
      </c>
    </row>
    <row r="9" s="27" customFormat="true" ht="12.75" hidden="false" customHeight="false" outlineLevel="0" collapsed="false">
      <c r="C9" s="28" t="s">
        <v>17</v>
      </c>
      <c r="D9" s="29"/>
      <c r="E9" s="30"/>
      <c r="F9" s="31"/>
      <c r="G9" s="32"/>
      <c r="H9" s="38"/>
      <c r="I9" s="34" t="s">
        <v>13</v>
      </c>
      <c r="J9" s="35"/>
      <c r="K9" s="36"/>
      <c r="L9" s="36"/>
      <c r="M9" s="36" t="n">
        <f aca="false">MIN(J9:L9)</f>
        <v>0</v>
      </c>
      <c r="N9" s="37" t="e">
        <f aca="false">SUM(M9/E9)</f>
        <v>#DIV/0!</v>
      </c>
    </row>
    <row r="10" s="27" customFormat="true" ht="12.75" hidden="false" customHeight="false" outlineLevel="0" collapsed="false">
      <c r="C10" s="28" t="s">
        <v>18</v>
      </c>
      <c r="D10" s="29"/>
      <c r="E10" s="30"/>
      <c r="F10" s="31"/>
      <c r="G10" s="32"/>
      <c r="H10" s="38"/>
      <c r="I10" s="34" t="s">
        <v>13</v>
      </c>
      <c r="J10" s="35"/>
      <c r="K10" s="36"/>
      <c r="L10" s="36"/>
      <c r="M10" s="36" t="n">
        <f aca="false">MIN(J10:L10)</f>
        <v>0</v>
      </c>
      <c r="N10" s="37" t="e">
        <f aca="false">SUM(M10/E10)</f>
        <v>#DIV/0!</v>
      </c>
    </row>
    <row r="11" s="27" customFormat="true" ht="12.75" hidden="false" customHeight="false" outlineLevel="0" collapsed="false">
      <c r="C11" s="28" t="s">
        <v>19</v>
      </c>
      <c r="D11" s="29"/>
      <c r="E11" s="30"/>
      <c r="F11" s="31"/>
      <c r="G11" s="32"/>
      <c r="H11" s="38"/>
      <c r="I11" s="34" t="s">
        <v>13</v>
      </c>
      <c r="J11" s="35"/>
      <c r="K11" s="36"/>
      <c r="L11" s="36"/>
      <c r="M11" s="36" t="n">
        <f aca="false">MIN(J11:L11)</f>
        <v>0</v>
      </c>
      <c r="N11" s="37" t="e">
        <f aca="false">SUM(M11/E11)</f>
        <v>#DIV/0!</v>
      </c>
    </row>
    <row r="12" s="27" customFormat="true" ht="12.75" hidden="false" customHeight="false" outlineLevel="0" collapsed="false">
      <c r="C12" s="28" t="s">
        <v>20</v>
      </c>
      <c r="D12" s="29"/>
      <c r="E12" s="30"/>
      <c r="F12" s="31"/>
      <c r="G12" s="32"/>
      <c r="H12" s="38"/>
      <c r="I12" s="34" t="s">
        <v>13</v>
      </c>
      <c r="J12" s="35"/>
      <c r="K12" s="36"/>
      <c r="L12" s="36"/>
      <c r="M12" s="36" t="n">
        <f aca="false">MIN(J12:L12)</f>
        <v>0</v>
      </c>
      <c r="N12" s="37" t="e">
        <f aca="false">SUM(M12/E12)</f>
        <v>#DIV/0!</v>
      </c>
    </row>
    <row r="13" s="27" customFormat="true" ht="12.75" hidden="false" customHeight="false" outlineLevel="0" collapsed="false">
      <c r="C13" s="39" t="s">
        <v>21</v>
      </c>
      <c r="D13" s="29"/>
      <c r="E13" s="30"/>
      <c r="F13" s="31"/>
      <c r="G13" s="32"/>
      <c r="H13" s="38"/>
      <c r="I13" s="34" t="s">
        <v>11</v>
      </c>
      <c r="J13" s="35"/>
      <c r="K13" s="36"/>
      <c r="L13" s="36"/>
      <c r="M13" s="36" t="n">
        <f aca="false">MIN(J13:L13)</f>
        <v>0</v>
      </c>
      <c r="N13" s="37" t="e">
        <f aca="false">SUM(M13/E13)</f>
        <v>#DIV/0!</v>
      </c>
    </row>
    <row r="14" s="27" customFormat="true" ht="12.75" hidden="false" customHeight="false" outlineLevel="0" collapsed="false">
      <c r="C14" s="28" t="s">
        <v>22</v>
      </c>
      <c r="D14" s="29"/>
      <c r="E14" s="30"/>
      <c r="F14" s="31"/>
      <c r="G14" s="32" t="s">
        <v>23</v>
      </c>
      <c r="H14" s="38"/>
      <c r="I14" s="34" t="s">
        <v>13</v>
      </c>
      <c r="J14" s="35"/>
      <c r="K14" s="36"/>
      <c r="L14" s="36"/>
      <c r="M14" s="36" t="n">
        <f aca="false">MIN(J14:L14)</f>
        <v>0</v>
      </c>
      <c r="N14" s="37" t="e">
        <f aca="false">SUM(M14/E14)</f>
        <v>#DIV/0!</v>
      </c>
    </row>
    <row r="15" s="27" customFormat="true" ht="12.75" hidden="false" customHeight="false" outlineLevel="0" collapsed="false">
      <c r="C15" s="28" t="s">
        <v>24</v>
      </c>
      <c r="D15" s="29"/>
      <c r="E15" s="30"/>
      <c r="F15" s="31"/>
      <c r="G15" s="32" t="s">
        <v>25</v>
      </c>
      <c r="H15" s="38"/>
      <c r="I15" s="34" t="s">
        <v>13</v>
      </c>
      <c r="J15" s="35"/>
      <c r="K15" s="36"/>
      <c r="L15" s="36"/>
      <c r="M15" s="36" t="n">
        <f aca="false">MIN(J15:L15)</f>
        <v>0</v>
      </c>
      <c r="N15" s="37" t="e">
        <f aca="false">SUM(M15/E15)</f>
        <v>#DIV/0!</v>
      </c>
    </row>
    <row r="16" s="27" customFormat="true" ht="12.75" hidden="false" customHeight="false" outlineLevel="0" collapsed="false">
      <c r="C16" s="40" t="s">
        <v>26</v>
      </c>
      <c r="D16" s="29"/>
      <c r="E16" s="30"/>
      <c r="F16" s="31"/>
      <c r="G16" s="32"/>
      <c r="H16" s="38"/>
      <c r="I16" s="34" t="s">
        <v>13</v>
      </c>
      <c r="J16" s="35"/>
      <c r="K16" s="36"/>
      <c r="L16" s="36"/>
      <c r="M16" s="36" t="n">
        <f aca="false">MIN(J16:L16)</f>
        <v>0</v>
      </c>
      <c r="N16" s="37" t="e">
        <f aca="false">SUM(M16/E16)</f>
        <v>#DIV/0!</v>
      </c>
    </row>
    <row r="17" s="27" customFormat="true" ht="12.75" hidden="false" customHeight="false" outlineLevel="0" collapsed="false">
      <c r="C17" s="40" t="s">
        <v>27</v>
      </c>
      <c r="D17" s="29"/>
      <c r="E17" s="30"/>
      <c r="F17" s="31"/>
      <c r="G17" s="32"/>
      <c r="H17" s="38"/>
      <c r="I17" s="34" t="s">
        <v>13</v>
      </c>
      <c r="J17" s="35"/>
      <c r="K17" s="36"/>
      <c r="L17" s="36"/>
      <c r="M17" s="36" t="n">
        <f aca="false">MIN(J17:L17)</f>
        <v>0</v>
      </c>
      <c r="N17" s="37" t="e">
        <f aca="false">SUM(M17/E17)</f>
        <v>#DIV/0!</v>
      </c>
    </row>
    <row r="18" s="27" customFormat="true" ht="12.75" hidden="false" customHeight="false" outlineLevel="0" collapsed="false">
      <c r="C18" s="40" t="s">
        <v>28</v>
      </c>
      <c r="D18" s="29"/>
      <c r="E18" s="30"/>
      <c r="F18" s="31"/>
      <c r="G18" s="32"/>
      <c r="H18" s="38"/>
      <c r="I18" s="34" t="s">
        <v>13</v>
      </c>
      <c r="J18" s="35"/>
      <c r="K18" s="36"/>
      <c r="L18" s="36"/>
      <c r="M18" s="36" t="n">
        <f aca="false">MIN(J18:L18)</f>
        <v>0</v>
      </c>
      <c r="N18" s="37" t="e">
        <f aca="false">SUM(M18/E18)</f>
        <v>#DIV/0!</v>
      </c>
    </row>
    <row r="19" s="27" customFormat="true" ht="12.75" hidden="false" customHeight="false" outlineLevel="0" collapsed="false">
      <c r="C19" s="40" t="s">
        <v>29</v>
      </c>
      <c r="D19" s="29"/>
      <c r="E19" s="30"/>
      <c r="F19" s="31"/>
      <c r="G19" s="32"/>
      <c r="H19" s="38"/>
      <c r="I19" s="34" t="s">
        <v>13</v>
      </c>
      <c r="J19" s="35"/>
      <c r="K19" s="36"/>
      <c r="L19" s="36"/>
      <c r="M19" s="36"/>
      <c r="N19" s="37"/>
    </row>
    <row r="20" s="27" customFormat="true" ht="12.75" hidden="false" customHeight="false" outlineLevel="0" collapsed="false">
      <c r="C20" s="41"/>
      <c r="D20" s="42"/>
      <c r="E20" s="30"/>
      <c r="F20" s="31"/>
      <c r="G20" s="32"/>
      <c r="H20" s="38"/>
      <c r="I20" s="43"/>
      <c r="J20" s="35"/>
      <c r="K20" s="36"/>
      <c r="L20" s="36"/>
      <c r="M20" s="36" t="n">
        <f aca="false">MIN(J20:L20)</f>
        <v>0</v>
      </c>
      <c r="N20" s="37" t="e">
        <f aca="false">SUM(M20/E20)</f>
        <v>#DIV/0!</v>
      </c>
    </row>
    <row r="21" s="2" customFormat="true" ht="12.75" hidden="false" customHeight="true" outlineLevel="0" collapsed="false">
      <c r="C21" s="44" t="s">
        <v>30</v>
      </c>
      <c r="D21" s="44"/>
      <c r="E21" s="45"/>
      <c r="F21" s="45"/>
      <c r="G21" s="45"/>
      <c r="H21" s="46"/>
      <c r="I21" s="15" t="s">
        <v>4</v>
      </c>
      <c r="J21" s="47"/>
      <c r="K21" s="48"/>
      <c r="L21" s="48"/>
      <c r="M21" s="36" t="n">
        <f aca="false">MIN(J21:L21)</f>
        <v>0</v>
      </c>
      <c r="N21" s="37" t="e">
        <f aca="false">SUM(M21/E21)</f>
        <v>#DIV/0!</v>
      </c>
    </row>
    <row r="22" s="2" customFormat="true" ht="15" hidden="false" customHeight="true" outlineLevel="0" collapsed="false">
      <c r="C22" s="44"/>
      <c r="D22" s="44"/>
      <c r="E22" s="49" t="s">
        <v>5</v>
      </c>
      <c r="F22" s="50" t="s">
        <v>6</v>
      </c>
      <c r="G22" s="51" t="s">
        <v>7</v>
      </c>
      <c r="H22" s="52" t="s">
        <v>8</v>
      </c>
      <c r="I22" s="15"/>
      <c r="J22" s="47"/>
      <c r="K22" s="48"/>
      <c r="L22" s="48"/>
      <c r="M22" s="36" t="n">
        <f aca="false">MIN(J22:L22)</f>
        <v>0</v>
      </c>
      <c r="N22" s="37" t="e">
        <f aca="false">SUM(M22/E22)</f>
        <v>#VALUE!</v>
      </c>
    </row>
    <row r="23" s="27" customFormat="true" ht="12.75" hidden="false" customHeight="false" outlineLevel="0" collapsed="false">
      <c r="C23" s="28" t="s">
        <v>31</v>
      </c>
      <c r="D23" s="29"/>
      <c r="E23" s="30" t="n">
        <v>48</v>
      </c>
      <c r="F23" s="31"/>
      <c r="G23" s="32" t="n">
        <v>1</v>
      </c>
      <c r="H23" s="33"/>
      <c r="I23" s="34" t="s">
        <v>11</v>
      </c>
      <c r="J23" s="35" t="n">
        <v>35.99</v>
      </c>
      <c r="K23" s="36" t="n">
        <v>41.98</v>
      </c>
      <c r="L23" s="36"/>
      <c r="M23" s="36" t="n">
        <f aca="false">MIN(J23:L23)</f>
        <v>35.99</v>
      </c>
      <c r="N23" s="37" t="n">
        <f aca="false">SUM(M23/E23)</f>
        <v>0.749791666666667</v>
      </c>
    </row>
    <row r="24" s="27" customFormat="true" ht="12.75" hidden="false" customHeight="false" outlineLevel="0" collapsed="false">
      <c r="C24" s="28" t="s">
        <v>32</v>
      </c>
      <c r="D24" s="29"/>
      <c r="E24" s="30"/>
      <c r="F24" s="31"/>
      <c r="G24" s="32" t="n">
        <v>1</v>
      </c>
      <c r="H24" s="38"/>
      <c r="I24" s="34" t="s">
        <v>11</v>
      </c>
      <c r="J24" s="35"/>
      <c r="K24" s="36"/>
      <c r="L24" s="36"/>
      <c r="M24" s="36" t="n">
        <f aca="false">MIN(J24:L24)</f>
        <v>0</v>
      </c>
      <c r="N24" s="37" t="e">
        <f aca="false">SUM(M24/E24)</f>
        <v>#DIV/0!</v>
      </c>
    </row>
    <row r="25" s="27" customFormat="true" ht="12.75" hidden="false" customHeight="false" outlineLevel="0" collapsed="false">
      <c r="C25" s="28" t="s">
        <v>33</v>
      </c>
      <c r="D25" s="29"/>
      <c r="E25" s="30" t="n">
        <v>36</v>
      </c>
      <c r="F25" s="31"/>
      <c r="G25" s="32" t="n">
        <v>1</v>
      </c>
      <c r="H25" s="38"/>
      <c r="I25" s="34" t="s">
        <v>11</v>
      </c>
      <c r="J25" s="35" t="n">
        <v>26.49</v>
      </c>
      <c r="K25" s="36" t="n">
        <v>32.68</v>
      </c>
      <c r="L25" s="36"/>
      <c r="M25" s="36" t="n">
        <f aca="false">MIN(J25:L25)</f>
        <v>26.49</v>
      </c>
      <c r="N25" s="37" t="n">
        <f aca="false">SUM(M25/E25)</f>
        <v>0.735833333333333</v>
      </c>
    </row>
    <row r="26" s="27" customFormat="true" ht="12.75" hidden="false" customHeight="false" outlineLevel="0" collapsed="false">
      <c r="C26" s="28" t="s">
        <v>34</v>
      </c>
      <c r="D26" s="29"/>
      <c r="E26" s="30" t="n">
        <v>48</v>
      </c>
      <c r="F26" s="31"/>
      <c r="G26" s="32" t="n">
        <v>1</v>
      </c>
      <c r="H26" s="38"/>
      <c r="I26" s="34" t="s">
        <v>11</v>
      </c>
      <c r="J26" s="35" t="n">
        <v>35.99</v>
      </c>
      <c r="K26" s="36" t="n">
        <v>41.98</v>
      </c>
      <c r="L26" s="36"/>
      <c r="M26" s="36" t="n">
        <f aca="false">MIN(J26:L26)</f>
        <v>35.99</v>
      </c>
      <c r="N26" s="37" t="n">
        <f aca="false">SUM(M26/E26)</f>
        <v>0.749791666666667</v>
      </c>
    </row>
    <row r="27" s="27" customFormat="true" ht="12.75" hidden="false" customHeight="false" outlineLevel="0" collapsed="false">
      <c r="C27" s="28" t="s">
        <v>35</v>
      </c>
      <c r="D27" s="29"/>
      <c r="E27" s="30" t="n">
        <v>36</v>
      </c>
      <c r="F27" s="31"/>
      <c r="G27" s="32" t="n">
        <v>1</v>
      </c>
      <c r="H27" s="38"/>
      <c r="I27" s="34" t="s">
        <v>11</v>
      </c>
      <c r="J27" s="35" t="n">
        <v>27.49</v>
      </c>
      <c r="K27" s="36" t="n">
        <v>32.12</v>
      </c>
      <c r="L27" s="36"/>
      <c r="M27" s="36" t="n">
        <f aca="false">MIN(J27:L27)</f>
        <v>27.49</v>
      </c>
      <c r="N27" s="37" t="n">
        <f aca="false">SUM(M27/E27)</f>
        <v>0.763611111111111</v>
      </c>
    </row>
    <row r="28" s="27" customFormat="true" ht="12.75" hidden="false" customHeight="false" outlineLevel="0" collapsed="false">
      <c r="C28" s="28" t="s">
        <v>36</v>
      </c>
      <c r="D28" s="29"/>
      <c r="E28" s="30"/>
      <c r="F28" s="31"/>
      <c r="G28" s="32" t="n">
        <v>1</v>
      </c>
      <c r="H28" s="38"/>
      <c r="I28" s="34" t="s">
        <v>11</v>
      </c>
      <c r="J28" s="35"/>
      <c r="K28" s="36"/>
      <c r="L28" s="36"/>
      <c r="M28" s="36" t="n">
        <f aca="false">MIN(J28:L28)</f>
        <v>0</v>
      </c>
      <c r="N28" s="37" t="e">
        <f aca="false">SUM(M28/E28)</f>
        <v>#DIV/0!</v>
      </c>
    </row>
    <row r="29" s="27" customFormat="true" ht="12.75" hidden="false" customHeight="false" outlineLevel="0" collapsed="false">
      <c r="C29" s="40" t="s">
        <v>37</v>
      </c>
      <c r="D29" s="29"/>
      <c r="E29" s="30"/>
      <c r="F29" s="31"/>
      <c r="G29" s="32" t="n">
        <v>1</v>
      </c>
      <c r="H29" s="38"/>
      <c r="I29" s="34" t="s">
        <v>11</v>
      </c>
      <c r="J29" s="35"/>
      <c r="K29" s="36"/>
      <c r="L29" s="36"/>
      <c r="M29" s="36"/>
      <c r="N29" s="37"/>
    </row>
    <row r="30" s="27" customFormat="true" ht="12.75" hidden="false" customHeight="false" outlineLevel="0" collapsed="false">
      <c r="C30" s="39" t="s">
        <v>38</v>
      </c>
      <c r="D30" s="29"/>
      <c r="E30" s="30" t="n">
        <v>9</v>
      </c>
      <c r="F30" s="31"/>
      <c r="G30" s="32" t="n">
        <v>1</v>
      </c>
      <c r="H30" s="38"/>
      <c r="I30" s="34" t="s">
        <v>11</v>
      </c>
      <c r="J30" s="35" t="n">
        <v>18.99</v>
      </c>
      <c r="K30" s="36" t="n">
        <v>15.98</v>
      </c>
      <c r="L30" s="36"/>
      <c r="M30" s="36" t="n">
        <f aca="false">MIN(J30:L30)</f>
        <v>15.98</v>
      </c>
      <c r="N30" s="37" t="n">
        <f aca="false">SUM(M30/E30)</f>
        <v>1.77555555555556</v>
      </c>
    </row>
    <row r="31" s="27" customFormat="true" ht="12.75" hidden="false" customHeight="false" outlineLevel="0" collapsed="false">
      <c r="C31" s="39" t="s">
        <v>39</v>
      </c>
      <c r="D31" s="29"/>
      <c r="E31" s="30" t="n">
        <v>40</v>
      </c>
      <c r="F31" s="31"/>
      <c r="G31" s="32" t="n">
        <v>1</v>
      </c>
      <c r="H31" s="38"/>
      <c r="I31" s="34" t="s">
        <v>40</v>
      </c>
      <c r="J31" s="35"/>
      <c r="K31" s="36" t="n">
        <v>13.98</v>
      </c>
      <c r="L31" s="36"/>
      <c r="M31" s="36" t="n">
        <f aca="false">MIN(J31:L31)</f>
        <v>13.98</v>
      </c>
      <c r="N31" s="37" t="n">
        <f aca="false">SUM(M31/E31)</f>
        <v>0.3495</v>
      </c>
    </row>
    <row r="32" s="27" customFormat="true" ht="12.75" hidden="false" customHeight="false" outlineLevel="0" collapsed="false">
      <c r="C32" s="39" t="s">
        <v>41</v>
      </c>
      <c r="D32" s="29"/>
      <c r="E32" s="30" t="n">
        <v>24</v>
      </c>
      <c r="F32" s="31"/>
      <c r="G32" s="32" t="n">
        <v>1</v>
      </c>
      <c r="H32" s="38"/>
      <c r="I32" s="34" t="s">
        <v>11</v>
      </c>
      <c r="J32" s="35"/>
      <c r="K32" s="36" t="n">
        <v>10.88</v>
      </c>
      <c r="L32" s="36"/>
      <c r="M32" s="36" t="n">
        <f aca="false">MIN(J32:L32)</f>
        <v>10.88</v>
      </c>
      <c r="N32" s="37" t="n">
        <f aca="false">SUM(M32/E32)</f>
        <v>0.453333333333333</v>
      </c>
    </row>
    <row r="33" s="27" customFormat="true" ht="12.75" hidden="false" customHeight="false" outlineLevel="0" collapsed="false">
      <c r="C33" s="39" t="s">
        <v>42</v>
      </c>
      <c r="D33" s="29"/>
      <c r="E33" s="30"/>
      <c r="F33" s="31"/>
      <c r="G33" s="32" t="n">
        <v>1</v>
      </c>
      <c r="H33" s="38"/>
      <c r="I33" s="34" t="s">
        <v>11</v>
      </c>
      <c r="J33" s="35"/>
      <c r="K33" s="36"/>
      <c r="L33" s="36"/>
      <c r="M33" s="36" t="n">
        <f aca="false">MIN(J33:L33)</f>
        <v>0</v>
      </c>
      <c r="N33" s="37" t="e">
        <f aca="false">SUM(M33/E33)</f>
        <v>#DIV/0!</v>
      </c>
    </row>
    <row r="34" s="27" customFormat="true" ht="12.75" hidden="false" customHeight="false" outlineLevel="0" collapsed="false">
      <c r="C34" s="28"/>
      <c r="D34" s="29"/>
      <c r="E34" s="30"/>
      <c r="F34" s="31"/>
      <c r="G34" s="32"/>
      <c r="H34" s="38"/>
      <c r="I34" s="34"/>
      <c r="J34" s="35"/>
      <c r="K34" s="36"/>
      <c r="L34" s="36"/>
      <c r="M34" s="36" t="n">
        <f aca="false">MIN(J34:L34)</f>
        <v>0</v>
      </c>
      <c r="N34" s="37" t="e">
        <f aca="false">SUM(M34/E34)</f>
        <v>#DIV/0!</v>
      </c>
    </row>
    <row r="35" s="27" customFormat="true" ht="12.75" hidden="false" customHeight="false" outlineLevel="0" collapsed="false">
      <c r="C35" s="39" t="s">
        <v>43</v>
      </c>
      <c r="D35" s="29"/>
      <c r="E35" s="30" t="n">
        <v>18</v>
      </c>
      <c r="F35" s="31"/>
      <c r="G35" s="32" t="n">
        <v>2</v>
      </c>
      <c r="H35" s="38"/>
      <c r="I35" s="34" t="s">
        <v>11</v>
      </c>
      <c r="J35" s="35" t="n">
        <v>20.49</v>
      </c>
      <c r="K35" s="36" t="n">
        <v>12.91</v>
      </c>
      <c r="L35" s="36"/>
      <c r="M35" s="36" t="n">
        <f aca="false">MIN(J35:L35)</f>
        <v>12.91</v>
      </c>
      <c r="N35" s="37" t="n">
        <f aca="false">SUM(M35/E35)</f>
        <v>0.717222222222222</v>
      </c>
    </row>
    <row r="36" s="27" customFormat="true" ht="12.75" hidden="false" customHeight="false" outlineLevel="0" collapsed="false">
      <c r="C36" s="39" t="s">
        <v>44</v>
      </c>
      <c r="D36" s="29"/>
      <c r="E36" s="30"/>
      <c r="F36" s="31"/>
      <c r="G36" s="32" t="n">
        <v>1</v>
      </c>
      <c r="H36" s="38"/>
      <c r="I36" s="34" t="s">
        <v>11</v>
      </c>
      <c r="J36" s="35"/>
      <c r="K36" s="36"/>
      <c r="L36" s="36"/>
      <c r="M36" s="36" t="n">
        <f aca="false">MIN(J36:L36)</f>
        <v>0</v>
      </c>
      <c r="N36" s="37" t="e">
        <f aca="false">SUM(M36/E36)</f>
        <v>#DIV/0!</v>
      </c>
    </row>
    <row r="37" s="27" customFormat="true" ht="12.75" hidden="false" customHeight="false" outlineLevel="0" collapsed="false">
      <c r="C37" s="39" t="s">
        <v>45</v>
      </c>
      <c r="D37" s="29"/>
      <c r="E37" s="30"/>
      <c r="F37" s="31"/>
      <c r="G37" s="32" t="n">
        <v>1</v>
      </c>
      <c r="H37" s="38"/>
      <c r="I37" s="34" t="s">
        <v>11</v>
      </c>
      <c r="J37" s="35"/>
      <c r="K37" s="36"/>
      <c r="L37" s="36"/>
      <c r="M37" s="36" t="n">
        <f aca="false">MIN(J37:L37)</f>
        <v>0</v>
      </c>
      <c r="N37" s="37" t="e">
        <f aca="false">SUM(M37/E37)</f>
        <v>#DIV/0!</v>
      </c>
    </row>
    <row r="38" s="27" customFormat="true" ht="12.75" hidden="false" customHeight="false" outlineLevel="0" collapsed="false">
      <c r="C38" s="28"/>
      <c r="D38" s="29"/>
      <c r="E38" s="30"/>
      <c r="F38" s="31"/>
      <c r="G38" s="32"/>
      <c r="H38" s="38"/>
      <c r="I38" s="34"/>
      <c r="J38" s="35" t="n">
        <v>9.59</v>
      </c>
      <c r="K38" s="36"/>
      <c r="L38" s="36"/>
      <c r="M38" s="36" t="n">
        <f aca="false">MIN(J38:L38)</f>
        <v>9.59</v>
      </c>
      <c r="N38" s="37" t="e">
        <f aca="false">SUM(M38/E38)</f>
        <v>#DIV/0!</v>
      </c>
    </row>
    <row r="39" s="27" customFormat="true" ht="12.75" hidden="false" customHeight="false" outlineLevel="0" collapsed="false">
      <c r="C39" s="39" t="s">
        <v>46</v>
      </c>
      <c r="D39" s="29"/>
      <c r="E39" s="30" t="n">
        <v>6</v>
      </c>
      <c r="F39" s="31"/>
      <c r="G39" s="32" t="n">
        <v>1</v>
      </c>
      <c r="H39" s="38"/>
      <c r="I39" s="34" t="s">
        <v>11</v>
      </c>
      <c r="J39" s="35" t="n">
        <v>4.69</v>
      </c>
      <c r="K39" s="36"/>
      <c r="L39" s="36"/>
      <c r="M39" s="36" t="n">
        <f aca="false">MIN(J39:L39)</f>
        <v>4.69</v>
      </c>
      <c r="N39" s="37" t="n">
        <f aca="false">SUM(M39/E39)</f>
        <v>0.781666666666667</v>
      </c>
    </row>
    <row r="40" s="27" customFormat="true" ht="12.75" hidden="false" customHeight="false" outlineLevel="0" collapsed="false">
      <c r="C40" s="39" t="s">
        <v>47</v>
      </c>
      <c r="D40" s="29"/>
      <c r="E40" s="30" t="n">
        <v>6</v>
      </c>
      <c r="F40" s="31"/>
      <c r="G40" s="32" t="n">
        <v>1</v>
      </c>
      <c r="H40" s="38"/>
      <c r="I40" s="34" t="s">
        <v>11</v>
      </c>
      <c r="J40" s="35" t="n">
        <v>4.69</v>
      </c>
      <c r="K40" s="36"/>
      <c r="L40" s="36"/>
      <c r="M40" s="36" t="n">
        <f aca="false">MIN(J40:L40)</f>
        <v>4.69</v>
      </c>
      <c r="N40" s="37" t="n">
        <f aca="false">SUM(M40/E40)</f>
        <v>0.781666666666667</v>
      </c>
    </row>
    <row r="41" s="27" customFormat="true" ht="12.75" hidden="false" customHeight="false" outlineLevel="0" collapsed="false">
      <c r="C41" s="39" t="s">
        <v>48</v>
      </c>
      <c r="D41" s="29"/>
      <c r="E41" s="30" t="n">
        <v>6</v>
      </c>
      <c r="F41" s="31"/>
      <c r="G41" s="32" t="n">
        <v>1</v>
      </c>
      <c r="H41" s="38"/>
      <c r="I41" s="34" t="s">
        <v>11</v>
      </c>
      <c r="J41" s="35" t="n">
        <v>4.69</v>
      </c>
      <c r="K41" s="36"/>
      <c r="L41" s="36"/>
      <c r="M41" s="36" t="n">
        <f aca="false">MIN(J41:L41)</f>
        <v>4.69</v>
      </c>
      <c r="N41" s="37" t="n">
        <f aca="false">SUM(M41/E41)</f>
        <v>0.781666666666667</v>
      </c>
    </row>
    <row r="42" s="27" customFormat="true" ht="12.75" hidden="false" customHeight="false" outlineLevel="0" collapsed="false">
      <c r="C42" s="28" t="s">
        <v>49</v>
      </c>
      <c r="D42" s="29"/>
      <c r="E42" s="30"/>
      <c r="F42" s="31"/>
      <c r="G42" s="32"/>
      <c r="H42" s="38"/>
      <c r="I42" s="34" t="s">
        <v>13</v>
      </c>
      <c r="J42" s="35"/>
      <c r="K42" s="36"/>
      <c r="L42" s="36"/>
      <c r="M42" s="36" t="n">
        <f aca="false">MIN(J42:L42)</f>
        <v>0</v>
      </c>
      <c r="N42" s="37" t="e">
        <f aca="false">SUM(M42/E42)</f>
        <v>#DIV/0!</v>
      </c>
    </row>
    <row r="43" s="27" customFormat="true" ht="12.75" hidden="false" customHeight="false" outlineLevel="0" collapsed="false">
      <c r="C43" s="28"/>
      <c r="D43" s="29"/>
      <c r="E43" s="30"/>
      <c r="F43" s="31"/>
      <c r="G43" s="32"/>
      <c r="H43" s="38"/>
      <c r="I43" s="34"/>
      <c r="J43" s="35"/>
      <c r="K43" s="36"/>
      <c r="L43" s="36"/>
      <c r="M43" s="36" t="n">
        <f aca="false">MIN(J43:L43)</f>
        <v>0</v>
      </c>
      <c r="N43" s="37" t="e">
        <f aca="false">SUM(M43/E43)</f>
        <v>#DIV/0!</v>
      </c>
    </row>
    <row r="44" s="27" customFormat="true" ht="12.75" hidden="false" customHeight="false" outlineLevel="0" collapsed="false">
      <c r="C44" s="28" t="s">
        <v>50</v>
      </c>
      <c r="D44" s="29"/>
      <c r="E44" s="30"/>
      <c r="F44" s="31"/>
      <c r="G44" s="32" t="n">
        <v>1</v>
      </c>
      <c r="H44" s="38"/>
      <c r="I44" s="34" t="s">
        <v>13</v>
      </c>
      <c r="J44" s="35"/>
      <c r="K44" s="36"/>
      <c r="L44" s="36"/>
      <c r="M44" s="36" t="n">
        <f aca="false">MIN(J44:L44)</f>
        <v>0</v>
      </c>
      <c r="N44" s="37" t="e">
        <f aca="false">SUM(M44/E44)</f>
        <v>#DIV/0!</v>
      </c>
    </row>
    <row r="45" s="27" customFormat="true" ht="12.75" hidden="false" customHeight="false" outlineLevel="0" collapsed="false">
      <c r="C45" s="28" t="s">
        <v>51</v>
      </c>
      <c r="D45" s="29"/>
      <c r="E45" s="30"/>
      <c r="F45" s="31"/>
      <c r="G45" s="32" t="n">
        <v>1</v>
      </c>
      <c r="H45" s="38"/>
      <c r="I45" s="34" t="s">
        <v>13</v>
      </c>
      <c r="J45" s="35"/>
      <c r="K45" s="36"/>
      <c r="L45" s="36"/>
      <c r="M45" s="36" t="n">
        <f aca="false">MIN(J45:L45)</f>
        <v>0</v>
      </c>
      <c r="N45" s="37" t="e">
        <f aca="false">SUM(M45/E45)</f>
        <v>#DIV/0!</v>
      </c>
    </row>
    <row r="46" s="27" customFormat="true" ht="12.75" hidden="false" customHeight="false" outlineLevel="0" collapsed="false">
      <c r="C46" s="28" t="s">
        <v>52</v>
      </c>
      <c r="D46" s="29"/>
      <c r="E46" s="30"/>
      <c r="F46" s="31"/>
      <c r="G46" s="32" t="n">
        <v>1</v>
      </c>
      <c r="H46" s="38"/>
      <c r="I46" s="34" t="s">
        <v>13</v>
      </c>
      <c r="J46" s="35"/>
      <c r="K46" s="36"/>
      <c r="L46" s="36"/>
      <c r="M46" s="36" t="n">
        <f aca="false">MIN(J46:L46)</f>
        <v>0</v>
      </c>
      <c r="N46" s="37" t="e">
        <f aca="false">SUM(M46/E46)</f>
        <v>#DIV/0!</v>
      </c>
    </row>
    <row r="47" s="27" customFormat="true" ht="12.75" hidden="false" customHeight="false" outlineLevel="0" collapsed="false">
      <c r="C47" s="39" t="s">
        <v>53</v>
      </c>
      <c r="D47" s="29"/>
      <c r="E47" s="30"/>
      <c r="F47" s="31"/>
      <c r="G47" s="32" t="n">
        <v>1</v>
      </c>
      <c r="H47" s="38"/>
      <c r="I47" s="34" t="s">
        <v>13</v>
      </c>
      <c r="J47" s="35"/>
      <c r="K47" s="36"/>
      <c r="L47" s="36"/>
      <c r="M47" s="36" t="n">
        <f aca="false">MIN(J47:L47)</f>
        <v>0</v>
      </c>
      <c r="N47" s="37" t="e">
        <f aca="false">SUM(M47/E47)</f>
        <v>#DIV/0!</v>
      </c>
    </row>
    <row r="48" s="27" customFormat="true" ht="12.75" hidden="false" customHeight="false" outlineLevel="0" collapsed="false">
      <c r="C48" s="28" t="s">
        <v>54</v>
      </c>
      <c r="D48" s="29"/>
      <c r="E48" s="30" t="n">
        <v>60</v>
      </c>
      <c r="F48" s="31"/>
      <c r="G48" s="32" t="n">
        <v>1</v>
      </c>
      <c r="H48" s="38"/>
      <c r="I48" s="34" t="s">
        <v>11</v>
      </c>
      <c r="J48" s="35"/>
      <c r="K48" s="36" t="n">
        <v>14.98</v>
      </c>
      <c r="L48" s="36"/>
      <c r="M48" s="36" t="n">
        <f aca="false">MIN(J48:L48)</f>
        <v>14.98</v>
      </c>
      <c r="N48" s="37" t="n">
        <f aca="false">SUM(M48/E48)</f>
        <v>0.249666666666667</v>
      </c>
    </row>
    <row r="49" s="27" customFormat="true" ht="12.75" hidden="false" customHeight="false" outlineLevel="0" collapsed="false">
      <c r="C49" s="28" t="s">
        <v>55</v>
      </c>
      <c r="D49" s="29"/>
      <c r="E49" s="30" t="n">
        <v>30</v>
      </c>
      <c r="F49" s="31"/>
      <c r="G49" s="32" t="n">
        <v>2</v>
      </c>
      <c r="H49" s="38"/>
      <c r="I49" s="34" t="s">
        <v>11</v>
      </c>
      <c r="J49" s="35" t="n">
        <v>19.99</v>
      </c>
      <c r="K49" s="36" t="n">
        <v>18.48</v>
      </c>
      <c r="L49" s="36"/>
      <c r="M49" s="36" t="n">
        <f aca="false">MIN(J49:L49)</f>
        <v>18.48</v>
      </c>
      <c r="N49" s="37" t="n">
        <f aca="false">SUM(M49/E49)</f>
        <v>0.616</v>
      </c>
    </row>
    <row r="50" s="27" customFormat="true" ht="12.75" hidden="false" customHeight="false" outlineLevel="0" collapsed="false">
      <c r="C50" s="40" t="s">
        <v>56</v>
      </c>
      <c r="D50" s="29"/>
      <c r="E50" s="30"/>
      <c r="F50" s="31"/>
      <c r="G50" s="32"/>
      <c r="H50" s="38"/>
      <c r="I50" s="34" t="s">
        <v>13</v>
      </c>
      <c r="J50" s="35"/>
      <c r="K50" s="36"/>
      <c r="L50" s="36"/>
      <c r="M50" s="36" t="n">
        <f aca="false">MIN(J50:L50)</f>
        <v>0</v>
      </c>
      <c r="N50" s="37" t="e">
        <f aca="false">SUM(M50/E50)</f>
        <v>#DIV/0!</v>
      </c>
    </row>
    <row r="51" s="27" customFormat="true" ht="12.75" hidden="false" customHeight="false" outlineLevel="0" collapsed="false">
      <c r="C51" s="40"/>
      <c r="D51" s="29"/>
      <c r="E51" s="30"/>
      <c r="F51" s="31"/>
      <c r="G51" s="32"/>
      <c r="H51" s="38"/>
      <c r="I51" s="34"/>
      <c r="J51" s="35"/>
      <c r="K51" s="36"/>
      <c r="L51" s="36"/>
      <c r="M51" s="36" t="n">
        <f aca="false">MIN(J51:L51)</f>
        <v>0</v>
      </c>
      <c r="N51" s="37" t="e">
        <f aca="false">SUM(M51/E51)</f>
        <v>#DIV/0!</v>
      </c>
    </row>
    <row r="52" s="27" customFormat="true" ht="12.75" hidden="false" customHeight="false" outlineLevel="0" collapsed="false">
      <c r="C52" s="40"/>
      <c r="D52" s="29"/>
      <c r="E52" s="30"/>
      <c r="F52" s="31"/>
      <c r="G52" s="32"/>
      <c r="H52" s="38"/>
      <c r="I52" s="34"/>
      <c r="J52" s="35"/>
      <c r="K52" s="36"/>
      <c r="L52" s="36"/>
      <c r="M52" s="36" t="n">
        <f aca="false">MIN(J52:L52)</f>
        <v>0</v>
      </c>
      <c r="N52" s="37" t="e">
        <f aca="false">SUM(M52/E52)</f>
        <v>#DIV/0!</v>
      </c>
    </row>
    <row r="53" s="27" customFormat="true" ht="12.75" hidden="false" customHeight="false" outlineLevel="0" collapsed="false">
      <c r="C53" s="40" t="s">
        <v>57</v>
      </c>
      <c r="D53" s="29"/>
      <c r="E53" s="30"/>
      <c r="F53" s="31"/>
      <c r="G53" s="32"/>
      <c r="H53" s="38"/>
      <c r="I53" s="34" t="s">
        <v>13</v>
      </c>
      <c r="J53" s="35"/>
      <c r="K53" s="36"/>
      <c r="L53" s="36"/>
      <c r="M53" s="36" t="n">
        <f aca="false">MIN(J53:L53)</f>
        <v>0</v>
      </c>
      <c r="N53" s="37" t="e">
        <f aca="false">SUM(M53/E53)</f>
        <v>#DIV/0!</v>
      </c>
    </row>
    <row r="54" s="27" customFormat="true" ht="12.75" hidden="false" customHeight="false" outlineLevel="0" collapsed="false">
      <c r="C54" s="40" t="s">
        <v>58</v>
      </c>
      <c r="D54" s="29"/>
      <c r="E54" s="30"/>
      <c r="F54" s="31"/>
      <c r="G54" s="32"/>
      <c r="H54" s="38"/>
      <c r="I54" s="34" t="s">
        <v>13</v>
      </c>
      <c r="J54" s="35"/>
      <c r="K54" s="36"/>
      <c r="L54" s="36"/>
      <c r="M54" s="36" t="n">
        <f aca="false">MIN(J54:L54)</f>
        <v>0</v>
      </c>
      <c r="N54" s="37" t="e">
        <f aca="false">SUM(M54/E54)</f>
        <v>#DIV/0!</v>
      </c>
    </row>
    <row r="55" s="27" customFormat="true" ht="12.75" hidden="false" customHeight="false" outlineLevel="0" collapsed="false">
      <c r="C55" s="40" t="s">
        <v>59</v>
      </c>
      <c r="D55" s="29"/>
      <c r="E55" s="30"/>
      <c r="F55" s="31"/>
      <c r="G55" s="32"/>
      <c r="H55" s="38"/>
      <c r="I55" s="34" t="s">
        <v>13</v>
      </c>
      <c r="J55" s="35"/>
      <c r="K55" s="36"/>
      <c r="L55" s="36"/>
      <c r="M55" s="36" t="n">
        <f aca="false">MIN(J55:L55)</f>
        <v>0</v>
      </c>
      <c r="N55" s="37" t="e">
        <f aca="false">SUM(M55/E55)</f>
        <v>#DIV/0!</v>
      </c>
    </row>
    <row r="56" s="27" customFormat="true" ht="12.75" hidden="false" customHeight="false" outlineLevel="0" collapsed="false">
      <c r="C56" s="40" t="s">
        <v>60</v>
      </c>
      <c r="D56" s="29"/>
      <c r="E56" s="30"/>
      <c r="F56" s="31"/>
      <c r="G56" s="32"/>
      <c r="H56" s="38"/>
      <c r="I56" s="34" t="s">
        <v>13</v>
      </c>
      <c r="J56" s="35"/>
      <c r="K56" s="36"/>
      <c r="L56" s="36"/>
      <c r="M56" s="36" t="n">
        <f aca="false">MIN(J56:L56)</f>
        <v>0</v>
      </c>
      <c r="N56" s="37" t="e">
        <f aca="false">SUM(M56/E56)</f>
        <v>#DIV/0!</v>
      </c>
    </row>
    <row r="57" s="27" customFormat="true" ht="12.75" hidden="false" customHeight="false" outlineLevel="0" collapsed="false">
      <c r="C57" s="40" t="s">
        <v>61</v>
      </c>
      <c r="D57" s="29"/>
      <c r="E57" s="30"/>
      <c r="F57" s="31"/>
      <c r="G57" s="32"/>
      <c r="H57" s="38"/>
      <c r="I57" s="34" t="s">
        <v>13</v>
      </c>
      <c r="J57" s="35"/>
      <c r="K57" s="36"/>
      <c r="L57" s="36"/>
      <c r="M57" s="36" t="n">
        <f aca="false">MIN(J57:L57)</f>
        <v>0</v>
      </c>
      <c r="N57" s="37" t="e">
        <f aca="false">SUM(M57/E57)</f>
        <v>#DIV/0!</v>
      </c>
    </row>
    <row r="58" s="27" customFormat="true" ht="12.75" hidden="false" customHeight="false" outlineLevel="0" collapsed="false">
      <c r="C58" s="40" t="s">
        <v>62</v>
      </c>
      <c r="D58" s="29"/>
      <c r="E58" s="30"/>
      <c r="F58" s="31"/>
      <c r="G58" s="32"/>
      <c r="H58" s="38"/>
      <c r="I58" s="34" t="s">
        <v>13</v>
      </c>
      <c r="J58" s="35"/>
      <c r="K58" s="36"/>
      <c r="L58" s="36"/>
      <c r="M58" s="36" t="n">
        <f aca="false">MIN(J58:L58)</f>
        <v>0</v>
      </c>
      <c r="N58" s="37" t="e">
        <f aca="false">SUM(M58/E58)</f>
        <v>#DIV/0!</v>
      </c>
    </row>
    <row r="59" s="27" customFormat="true" ht="12.75" hidden="false" customHeight="false" outlineLevel="0" collapsed="false">
      <c r="C59" s="40"/>
      <c r="D59" s="29"/>
      <c r="E59" s="30"/>
      <c r="F59" s="31"/>
      <c r="G59" s="32"/>
      <c r="H59" s="38"/>
      <c r="I59" s="43"/>
      <c r="J59" s="35"/>
      <c r="K59" s="36"/>
      <c r="L59" s="36"/>
      <c r="M59" s="36" t="n">
        <f aca="false">MIN(J59:L59)</f>
        <v>0</v>
      </c>
      <c r="N59" s="37" t="e">
        <f aca="false">SUM(M59/E59)</f>
        <v>#DIV/0!</v>
      </c>
    </row>
    <row r="60" s="2" customFormat="true" ht="12.75" hidden="false" customHeight="true" outlineLevel="0" collapsed="false">
      <c r="C60" s="44" t="s">
        <v>63</v>
      </c>
      <c r="D60" s="44"/>
      <c r="E60" s="45"/>
      <c r="F60" s="45"/>
      <c r="G60" s="45"/>
      <c r="H60" s="46"/>
      <c r="I60" s="15" t="s">
        <v>4</v>
      </c>
      <c r="J60" s="47"/>
      <c r="K60" s="48"/>
      <c r="L60" s="48"/>
      <c r="M60" s="36" t="n">
        <f aca="false">MIN(J60:L60)</f>
        <v>0</v>
      </c>
      <c r="N60" s="37" t="e">
        <f aca="false">SUM(M60/E60)</f>
        <v>#DIV/0!</v>
      </c>
    </row>
    <row r="61" s="2" customFormat="true" ht="15" hidden="false" customHeight="true" outlineLevel="0" collapsed="false">
      <c r="C61" s="44"/>
      <c r="D61" s="44"/>
      <c r="E61" s="49" t="s">
        <v>64</v>
      </c>
      <c r="F61" s="50" t="s">
        <v>6</v>
      </c>
      <c r="G61" s="51" t="s">
        <v>7</v>
      </c>
      <c r="H61" s="52" t="s">
        <v>8</v>
      </c>
      <c r="I61" s="15"/>
      <c r="J61" s="47"/>
      <c r="K61" s="48"/>
      <c r="L61" s="48"/>
      <c r="M61" s="36" t="n">
        <f aca="false">MIN(J61:L61)</f>
        <v>0</v>
      </c>
      <c r="N61" s="37" t="e">
        <f aca="false">SUM(M61/E61)</f>
        <v>#VALUE!</v>
      </c>
    </row>
    <row r="62" s="27" customFormat="true" ht="12.75" hidden="false" customHeight="false" outlineLevel="0" collapsed="false">
      <c r="C62" s="40"/>
      <c r="D62" s="29"/>
      <c r="E62" s="30"/>
      <c r="F62" s="31"/>
      <c r="G62" s="32"/>
      <c r="H62" s="38"/>
      <c r="I62" s="43"/>
      <c r="J62" s="35"/>
      <c r="K62" s="36"/>
      <c r="L62" s="36"/>
      <c r="M62" s="36" t="n">
        <f aca="false">MIN(J62:L62)</f>
        <v>0</v>
      </c>
      <c r="N62" s="37" t="e">
        <f aca="false">SUM(M62/E62)</f>
        <v>#DIV/0!</v>
      </c>
    </row>
    <row r="63" s="27" customFormat="true" ht="12.75" hidden="false" customHeight="false" outlineLevel="0" collapsed="false">
      <c r="C63" s="40" t="s">
        <v>65</v>
      </c>
      <c r="D63" s="29"/>
      <c r="E63" s="30" t="n">
        <v>12</v>
      </c>
      <c r="F63" s="31"/>
      <c r="G63" s="32" t="n">
        <v>36</v>
      </c>
      <c r="H63" s="38"/>
      <c r="I63" s="34" t="s">
        <v>11</v>
      </c>
      <c r="J63" s="35"/>
      <c r="K63" s="36" t="n">
        <v>8.68</v>
      </c>
      <c r="L63" s="36"/>
      <c r="M63" s="36" t="n">
        <f aca="false">MIN(J63:L63)</f>
        <v>8.68</v>
      </c>
      <c r="N63" s="37" t="n">
        <f aca="false">SUM(M63/E63)</f>
        <v>0.723333333333333</v>
      </c>
    </row>
    <row r="64" s="27" customFormat="true" ht="12.75" hidden="false" customHeight="false" outlineLevel="0" collapsed="false">
      <c r="C64" s="40" t="s">
        <v>66</v>
      </c>
      <c r="D64" s="29"/>
      <c r="E64" s="30"/>
      <c r="F64" s="31"/>
      <c r="G64" s="32" t="n">
        <v>1</v>
      </c>
      <c r="H64" s="38"/>
      <c r="I64" s="34" t="s">
        <v>13</v>
      </c>
      <c r="J64" s="35"/>
      <c r="K64" s="36"/>
      <c r="L64" s="36"/>
      <c r="M64" s="36" t="n">
        <f aca="false">MIN(J64:L64)</f>
        <v>0</v>
      </c>
      <c r="N64" s="37" t="e">
        <f aca="false">SUM(M64/E64)</f>
        <v>#DIV/0!</v>
      </c>
    </row>
    <row r="65" s="27" customFormat="true" ht="12.75" hidden="false" customHeight="false" outlineLevel="0" collapsed="false">
      <c r="C65" s="40" t="s">
        <v>67</v>
      </c>
      <c r="D65" s="29"/>
      <c r="E65" s="30"/>
      <c r="F65" s="31"/>
      <c r="G65" s="32"/>
      <c r="H65" s="38"/>
      <c r="I65" s="34" t="s">
        <v>11</v>
      </c>
      <c r="J65" s="35"/>
      <c r="K65" s="36"/>
      <c r="L65" s="36"/>
      <c r="M65" s="36" t="n">
        <f aca="false">MIN(J65:L65)</f>
        <v>0</v>
      </c>
      <c r="N65" s="37" t="e">
        <f aca="false">SUM(M65/E65)</f>
        <v>#DIV/0!</v>
      </c>
    </row>
    <row r="66" s="27" customFormat="true" ht="12.75" hidden="false" customHeight="false" outlineLevel="0" collapsed="false">
      <c r="C66" s="40" t="s">
        <v>68</v>
      </c>
      <c r="D66" s="29"/>
      <c r="E66" s="30"/>
      <c r="F66" s="31"/>
      <c r="G66" s="32"/>
      <c r="H66" s="38"/>
      <c r="I66" s="34" t="s">
        <v>13</v>
      </c>
      <c r="J66" s="35"/>
      <c r="K66" s="36"/>
      <c r="L66" s="36"/>
      <c r="M66" s="36" t="n">
        <f aca="false">MIN(J66:L66)</f>
        <v>0</v>
      </c>
      <c r="N66" s="37" t="e">
        <f aca="false">SUM(M66/E66)</f>
        <v>#DIV/0!</v>
      </c>
    </row>
    <row r="67" s="27" customFormat="true" ht="12.75" hidden="false" customHeight="false" outlineLevel="0" collapsed="false">
      <c r="C67" s="40"/>
      <c r="D67" s="31"/>
      <c r="E67" s="30"/>
      <c r="F67" s="31"/>
      <c r="G67" s="32"/>
      <c r="H67" s="38"/>
      <c r="I67" s="43"/>
      <c r="J67" s="35"/>
      <c r="K67" s="36"/>
      <c r="L67" s="36"/>
      <c r="M67" s="36" t="n">
        <f aca="false">MIN(J67:L67)</f>
        <v>0</v>
      </c>
      <c r="N67" s="37" t="e">
        <f aca="false">SUM(M67/E67)</f>
        <v>#DIV/0!</v>
      </c>
    </row>
    <row r="68" s="2" customFormat="true" ht="12.75" hidden="false" customHeight="true" outlineLevel="0" collapsed="false">
      <c r="C68" s="44" t="s">
        <v>69</v>
      </c>
      <c r="D68" s="44"/>
      <c r="E68" s="45"/>
      <c r="F68" s="45"/>
      <c r="G68" s="45"/>
      <c r="H68" s="46"/>
      <c r="I68" s="15" t="s">
        <v>4</v>
      </c>
      <c r="J68" s="47"/>
      <c r="K68" s="48"/>
      <c r="L68" s="48"/>
      <c r="M68" s="36" t="n">
        <f aca="false">MIN(J68:L68)</f>
        <v>0</v>
      </c>
      <c r="N68" s="37" t="e">
        <f aca="false">SUM(M68/E68)</f>
        <v>#DIV/0!</v>
      </c>
    </row>
    <row r="69" s="2" customFormat="true" ht="15" hidden="false" customHeight="true" outlineLevel="0" collapsed="false">
      <c r="C69" s="44"/>
      <c r="D69" s="44"/>
      <c r="E69" s="49" t="s">
        <v>6</v>
      </c>
      <c r="F69" s="50"/>
      <c r="G69" s="51" t="s">
        <v>7</v>
      </c>
      <c r="H69" s="52" t="s">
        <v>8</v>
      </c>
      <c r="I69" s="15"/>
      <c r="J69" s="47"/>
      <c r="K69" s="48"/>
      <c r="L69" s="48"/>
      <c r="M69" s="36" t="n">
        <f aca="false">MIN(J69:L69)</f>
        <v>0</v>
      </c>
      <c r="N69" s="37" t="e">
        <f aca="false">SUM(M69/E69)</f>
        <v>#VALUE!</v>
      </c>
    </row>
    <row r="70" s="27" customFormat="true" ht="12.75" hidden="false" customHeight="false" outlineLevel="0" collapsed="false">
      <c r="C70" s="40" t="s">
        <v>70</v>
      </c>
      <c r="D70" s="29"/>
      <c r="E70" s="30"/>
      <c r="F70" s="31"/>
      <c r="G70" s="32"/>
      <c r="H70" s="38"/>
      <c r="I70" s="34" t="s">
        <v>71</v>
      </c>
      <c r="J70" s="35"/>
      <c r="K70" s="36"/>
      <c r="L70" s="36"/>
      <c r="M70" s="36" t="n">
        <f aca="false">MIN(J70:L70)</f>
        <v>0</v>
      </c>
      <c r="N70" s="37" t="e">
        <f aca="false">SUM(M70/E70)</f>
        <v>#DIV/0!</v>
      </c>
    </row>
    <row r="71" s="27" customFormat="true" ht="12.75" hidden="false" customHeight="false" outlineLevel="0" collapsed="false">
      <c r="C71" s="40" t="s">
        <v>72</v>
      </c>
      <c r="D71" s="29"/>
      <c r="E71" s="30"/>
      <c r="F71" s="31"/>
      <c r="G71" s="32"/>
      <c r="H71" s="38"/>
      <c r="I71" s="34" t="s">
        <v>71</v>
      </c>
      <c r="J71" s="35"/>
      <c r="K71" s="36"/>
      <c r="L71" s="36"/>
      <c r="M71" s="36" t="n">
        <f aca="false">MIN(J71:L71)</f>
        <v>0</v>
      </c>
      <c r="N71" s="37" t="e">
        <f aca="false">SUM(M71/E71)</f>
        <v>#DIV/0!</v>
      </c>
    </row>
    <row r="72" s="27" customFormat="true" ht="12.75" hidden="false" customHeight="false" outlineLevel="0" collapsed="false">
      <c r="C72" s="40" t="s">
        <v>73</v>
      </c>
      <c r="D72" s="29"/>
      <c r="E72" s="30"/>
      <c r="F72" s="31"/>
      <c r="G72" s="32"/>
      <c r="H72" s="38"/>
      <c r="I72" s="34" t="s">
        <v>71</v>
      </c>
      <c r="J72" s="35"/>
      <c r="K72" s="36"/>
      <c r="L72" s="36"/>
      <c r="M72" s="36"/>
      <c r="N72" s="37"/>
    </row>
    <row r="73" s="27" customFormat="true" ht="12.75" hidden="false" customHeight="false" outlineLevel="0" collapsed="false">
      <c r="C73" s="40" t="s">
        <v>74</v>
      </c>
      <c r="D73" s="29"/>
      <c r="E73" s="30"/>
      <c r="F73" s="31"/>
      <c r="G73" s="32"/>
      <c r="H73" s="38"/>
      <c r="I73" s="34" t="s">
        <v>71</v>
      </c>
      <c r="J73" s="35"/>
      <c r="K73" s="36"/>
      <c r="L73" s="36"/>
      <c r="M73" s="36"/>
      <c r="N73" s="37"/>
    </row>
    <row r="74" s="27" customFormat="true" ht="12.75" hidden="false" customHeight="false" outlineLevel="0" collapsed="false">
      <c r="C74" s="40" t="s">
        <v>75</v>
      </c>
      <c r="D74" s="29"/>
      <c r="E74" s="30"/>
      <c r="F74" s="31"/>
      <c r="G74" s="32"/>
      <c r="H74" s="38"/>
      <c r="I74" s="34" t="s">
        <v>71</v>
      </c>
      <c r="J74" s="35"/>
      <c r="K74" s="36"/>
      <c r="L74" s="36"/>
      <c r="M74" s="36"/>
      <c r="N74" s="37"/>
    </row>
    <row r="75" s="27" customFormat="true" ht="12.75" hidden="false" customHeight="false" outlineLevel="0" collapsed="false">
      <c r="C75" s="40" t="s">
        <v>76</v>
      </c>
      <c r="D75" s="29"/>
      <c r="E75" s="30"/>
      <c r="F75" s="31"/>
      <c r="G75" s="32"/>
      <c r="H75" s="38"/>
      <c r="I75" s="34" t="s">
        <v>71</v>
      </c>
      <c r="J75" s="35"/>
      <c r="K75" s="36"/>
      <c r="L75" s="36"/>
      <c r="M75" s="36"/>
      <c r="N75" s="37"/>
    </row>
    <row r="76" s="27" customFormat="true" ht="12.75" hidden="false" customHeight="false" outlineLevel="0" collapsed="false">
      <c r="C76" s="40" t="s">
        <v>77</v>
      </c>
      <c r="D76" s="29"/>
      <c r="E76" s="30"/>
      <c r="F76" s="31"/>
      <c r="G76" s="32"/>
      <c r="H76" s="38"/>
      <c r="I76" s="34" t="s">
        <v>71</v>
      </c>
      <c r="J76" s="35"/>
      <c r="K76" s="36"/>
      <c r="L76" s="36"/>
      <c r="M76" s="36"/>
      <c r="N76" s="37"/>
    </row>
    <row r="77" s="27" customFormat="true" ht="12.75" hidden="false" customHeight="false" outlineLevel="0" collapsed="false">
      <c r="C77" s="40" t="s">
        <v>78</v>
      </c>
      <c r="D77" s="29"/>
      <c r="E77" s="30"/>
      <c r="F77" s="31"/>
      <c r="G77" s="32"/>
      <c r="H77" s="38"/>
      <c r="I77" s="34" t="s">
        <v>71</v>
      </c>
      <c r="J77" s="35"/>
      <c r="K77" s="36"/>
      <c r="L77" s="36"/>
      <c r="M77" s="36"/>
      <c r="N77" s="37"/>
    </row>
    <row r="78" s="27" customFormat="true" ht="12.75" hidden="false" customHeight="false" outlineLevel="0" collapsed="false">
      <c r="C78" s="40" t="s">
        <v>79</v>
      </c>
      <c r="D78" s="29"/>
      <c r="E78" s="30"/>
      <c r="F78" s="31"/>
      <c r="G78" s="32"/>
      <c r="H78" s="38"/>
      <c r="I78" s="34" t="s">
        <v>71</v>
      </c>
      <c r="J78" s="35"/>
      <c r="K78" s="36"/>
      <c r="L78" s="36"/>
      <c r="M78" s="36"/>
      <c r="N78" s="37"/>
    </row>
    <row r="79" s="27" customFormat="true" ht="12.75" hidden="false" customHeight="false" outlineLevel="0" collapsed="false">
      <c r="C79" s="40" t="s">
        <v>80</v>
      </c>
      <c r="D79" s="29"/>
      <c r="E79" s="30"/>
      <c r="F79" s="31"/>
      <c r="G79" s="32"/>
      <c r="H79" s="38"/>
      <c r="I79" s="34" t="s">
        <v>71</v>
      </c>
      <c r="J79" s="35"/>
      <c r="K79" s="36"/>
      <c r="L79" s="36"/>
      <c r="M79" s="36"/>
      <c r="N79" s="37"/>
    </row>
    <row r="80" s="27" customFormat="true" ht="12.75" hidden="false" customHeight="false" outlineLevel="0" collapsed="false">
      <c r="C80" s="40" t="s">
        <v>81</v>
      </c>
      <c r="D80" s="29"/>
      <c r="E80" s="30"/>
      <c r="F80" s="31"/>
      <c r="G80" s="32"/>
      <c r="H80" s="38"/>
      <c r="I80" s="34" t="s">
        <v>71</v>
      </c>
      <c r="J80" s="35"/>
      <c r="K80" s="36"/>
      <c r="L80" s="36"/>
      <c r="M80" s="36"/>
      <c r="N80" s="37"/>
    </row>
    <row r="81" s="27" customFormat="true" ht="12.75" hidden="false" customHeight="false" outlineLevel="0" collapsed="false">
      <c r="C81" s="40" t="s">
        <v>82</v>
      </c>
      <c r="D81" s="29"/>
      <c r="E81" s="30"/>
      <c r="F81" s="31"/>
      <c r="G81" s="32"/>
      <c r="H81" s="38"/>
      <c r="I81" s="34" t="s">
        <v>71</v>
      </c>
      <c r="J81" s="35"/>
      <c r="K81" s="36"/>
      <c r="L81" s="36"/>
      <c r="M81" s="36"/>
      <c r="N81" s="37"/>
    </row>
    <row r="82" s="27" customFormat="true" ht="12.75" hidden="false" customHeight="false" outlineLevel="0" collapsed="false">
      <c r="C82" s="40" t="s">
        <v>83</v>
      </c>
      <c r="D82" s="29"/>
      <c r="E82" s="30"/>
      <c r="F82" s="31"/>
      <c r="G82" s="32"/>
      <c r="H82" s="38"/>
      <c r="I82" s="34" t="s">
        <v>71</v>
      </c>
      <c r="J82" s="35"/>
      <c r="K82" s="36"/>
      <c r="L82" s="36"/>
      <c r="M82" s="36"/>
      <c r="N82" s="37"/>
    </row>
    <row r="83" s="27" customFormat="true" ht="12.75" hidden="false" customHeight="false" outlineLevel="0" collapsed="false">
      <c r="C83" s="40" t="s">
        <v>84</v>
      </c>
      <c r="D83" s="29"/>
      <c r="E83" s="30"/>
      <c r="F83" s="31"/>
      <c r="G83" s="32"/>
      <c r="H83" s="38"/>
      <c r="I83" s="34" t="s">
        <v>71</v>
      </c>
      <c r="J83" s="35"/>
      <c r="K83" s="36"/>
      <c r="L83" s="36"/>
      <c r="M83" s="36"/>
      <c r="N83" s="37"/>
    </row>
    <row r="84" s="27" customFormat="true" ht="12.75" hidden="false" customHeight="false" outlineLevel="0" collapsed="false">
      <c r="C84" s="40" t="s">
        <v>85</v>
      </c>
      <c r="D84" s="29"/>
      <c r="E84" s="30"/>
      <c r="F84" s="31"/>
      <c r="G84" s="32"/>
      <c r="H84" s="38"/>
      <c r="I84" s="34" t="s">
        <v>71</v>
      </c>
      <c r="J84" s="35"/>
      <c r="K84" s="36"/>
      <c r="L84" s="36"/>
      <c r="M84" s="36"/>
      <c r="N84" s="37"/>
    </row>
    <row r="85" s="27" customFormat="true" ht="12.75" hidden="false" customHeight="false" outlineLevel="0" collapsed="false">
      <c r="C85" s="40" t="s">
        <v>86</v>
      </c>
      <c r="D85" s="29"/>
      <c r="E85" s="30"/>
      <c r="F85" s="31"/>
      <c r="G85" s="32"/>
      <c r="H85" s="38"/>
      <c r="I85" s="34" t="s">
        <v>71</v>
      </c>
      <c r="J85" s="35"/>
      <c r="K85" s="36"/>
      <c r="L85" s="36"/>
      <c r="M85" s="36"/>
      <c r="N85" s="37"/>
    </row>
    <row r="86" s="27" customFormat="true" ht="12.75" hidden="false" customHeight="false" outlineLevel="0" collapsed="false">
      <c r="C86" s="40" t="s">
        <v>87</v>
      </c>
      <c r="D86" s="29"/>
      <c r="E86" s="30"/>
      <c r="F86" s="31"/>
      <c r="G86" s="32"/>
      <c r="H86" s="38"/>
      <c r="I86" s="34" t="s">
        <v>71</v>
      </c>
      <c r="J86" s="35"/>
      <c r="K86" s="36"/>
      <c r="L86" s="36"/>
      <c r="M86" s="36"/>
      <c r="N86" s="37"/>
    </row>
    <row r="87" s="27" customFormat="true" ht="12.75" hidden="false" customHeight="false" outlineLevel="0" collapsed="false">
      <c r="C87" s="40" t="s">
        <v>88</v>
      </c>
      <c r="D87" s="29"/>
      <c r="E87" s="30"/>
      <c r="F87" s="31"/>
      <c r="G87" s="32"/>
      <c r="H87" s="38"/>
      <c r="I87" s="34" t="s">
        <v>71</v>
      </c>
      <c r="J87" s="35"/>
      <c r="K87" s="36"/>
      <c r="L87" s="36"/>
      <c r="M87" s="36"/>
      <c r="N87" s="37"/>
    </row>
    <row r="88" s="27" customFormat="true" ht="12.75" hidden="false" customHeight="false" outlineLevel="0" collapsed="false">
      <c r="C88" s="40" t="s">
        <v>89</v>
      </c>
      <c r="D88" s="29"/>
      <c r="E88" s="30"/>
      <c r="F88" s="31"/>
      <c r="G88" s="32"/>
      <c r="H88" s="38"/>
      <c r="I88" s="34" t="s">
        <v>71</v>
      </c>
      <c r="J88" s="35"/>
      <c r="K88" s="36"/>
      <c r="L88" s="36"/>
      <c r="M88" s="36"/>
      <c r="N88" s="37"/>
    </row>
    <row r="89" s="27" customFormat="true" ht="12.75" hidden="false" customHeight="false" outlineLevel="0" collapsed="false">
      <c r="C89" s="40" t="s">
        <v>90</v>
      </c>
      <c r="D89" s="29"/>
      <c r="E89" s="30"/>
      <c r="F89" s="31"/>
      <c r="G89" s="32"/>
      <c r="H89" s="38"/>
      <c r="I89" s="34" t="s">
        <v>71</v>
      </c>
      <c r="J89" s="35"/>
      <c r="K89" s="36"/>
      <c r="L89" s="36"/>
      <c r="M89" s="36"/>
      <c r="N89" s="37"/>
    </row>
    <row r="90" s="27" customFormat="true" ht="12.75" hidden="false" customHeight="false" outlineLevel="0" collapsed="false">
      <c r="C90" s="40" t="s">
        <v>91</v>
      </c>
      <c r="D90" s="29"/>
      <c r="E90" s="30"/>
      <c r="F90" s="31"/>
      <c r="G90" s="32"/>
      <c r="H90" s="38"/>
      <c r="I90" s="34" t="s">
        <v>71</v>
      </c>
      <c r="J90" s="35"/>
      <c r="K90" s="36"/>
      <c r="L90" s="36"/>
      <c r="M90" s="36"/>
      <c r="N90" s="37"/>
    </row>
    <row r="91" s="27" customFormat="true" ht="12.75" hidden="false" customHeight="false" outlineLevel="0" collapsed="false">
      <c r="C91" s="40" t="s">
        <v>92</v>
      </c>
      <c r="D91" s="29"/>
      <c r="E91" s="30"/>
      <c r="F91" s="31"/>
      <c r="G91" s="32"/>
      <c r="H91" s="38"/>
      <c r="I91" s="34" t="s">
        <v>71</v>
      </c>
      <c r="J91" s="35"/>
      <c r="K91" s="36"/>
      <c r="L91" s="36"/>
      <c r="M91" s="36"/>
      <c r="N91" s="37"/>
    </row>
    <row r="92" s="27" customFormat="true" ht="12.75" hidden="false" customHeight="false" outlineLevel="0" collapsed="false">
      <c r="C92" s="40" t="s">
        <v>93</v>
      </c>
      <c r="D92" s="29"/>
      <c r="E92" s="30"/>
      <c r="F92" s="31"/>
      <c r="G92" s="32"/>
      <c r="H92" s="38"/>
      <c r="I92" s="34" t="s">
        <v>71</v>
      </c>
      <c r="J92" s="35"/>
      <c r="K92" s="36"/>
      <c r="L92" s="36"/>
      <c r="M92" s="36"/>
      <c r="N92" s="37"/>
    </row>
    <row r="93" s="27" customFormat="true" ht="12.75" hidden="false" customHeight="false" outlineLevel="0" collapsed="false">
      <c r="C93" s="40" t="s">
        <v>94</v>
      </c>
      <c r="D93" s="29"/>
      <c r="E93" s="30"/>
      <c r="F93" s="31"/>
      <c r="G93" s="32"/>
      <c r="H93" s="38"/>
      <c r="I93" s="34" t="s">
        <v>71</v>
      </c>
      <c r="J93" s="35"/>
      <c r="K93" s="36"/>
      <c r="L93" s="36"/>
      <c r="M93" s="36"/>
      <c r="N93" s="37"/>
    </row>
    <row r="94" s="27" customFormat="true" ht="12.75" hidden="false" customHeight="false" outlineLevel="0" collapsed="false">
      <c r="C94" s="40" t="s">
        <v>95</v>
      </c>
      <c r="D94" s="53"/>
      <c r="E94" s="30"/>
      <c r="F94" s="31"/>
      <c r="G94" s="32"/>
      <c r="H94" s="38"/>
      <c r="I94" s="34" t="s">
        <v>71</v>
      </c>
      <c r="J94" s="35"/>
      <c r="K94" s="36"/>
      <c r="L94" s="36"/>
      <c r="M94" s="36"/>
      <c r="N94" s="37"/>
    </row>
    <row r="95" s="27" customFormat="true" ht="12.75" hidden="false" customHeight="false" outlineLevel="0" collapsed="false">
      <c r="C95" s="40" t="s">
        <v>96</v>
      </c>
      <c r="D95" s="29"/>
      <c r="E95" s="30"/>
      <c r="F95" s="31"/>
      <c r="G95" s="32"/>
      <c r="H95" s="54"/>
      <c r="I95" s="34" t="s">
        <v>71</v>
      </c>
      <c r="J95" s="35"/>
      <c r="K95" s="36"/>
      <c r="L95" s="36"/>
      <c r="M95" s="36" t="n">
        <f aca="false">MIN(J95:L95)</f>
        <v>0</v>
      </c>
      <c r="N95" s="37" t="e">
        <f aca="false">SUM(M95/E95)</f>
        <v>#DIV/0!</v>
      </c>
    </row>
    <row r="96" s="27" customFormat="true" ht="12.75" hidden="false" customHeight="false" outlineLevel="0" collapsed="false">
      <c r="C96" s="55"/>
      <c r="D96" s="53"/>
      <c r="E96" s="56"/>
      <c r="F96" s="57"/>
      <c r="G96" s="58"/>
      <c r="H96" s="59"/>
      <c r="I96" s="34"/>
      <c r="J96" s="35"/>
      <c r="K96" s="36"/>
      <c r="L96" s="36"/>
      <c r="M96" s="36"/>
      <c r="N96" s="37"/>
    </row>
    <row r="97" s="27" customFormat="true" ht="12.75" hidden="false" customHeight="false" outlineLevel="0" collapsed="false">
      <c r="C97" s="40"/>
      <c r="D97" s="53"/>
      <c r="E97" s="56"/>
      <c r="F97" s="57"/>
      <c r="G97" s="58"/>
      <c r="H97" s="59"/>
      <c r="I97" s="60"/>
      <c r="J97" s="35"/>
      <c r="K97" s="36"/>
      <c r="L97" s="36"/>
      <c r="M97" s="36"/>
      <c r="N97" s="37"/>
    </row>
    <row r="98" s="2" customFormat="true" ht="12.75" hidden="false" customHeight="true" outlineLevel="0" collapsed="false">
      <c r="C98" s="61" t="s">
        <v>97</v>
      </c>
      <c r="D98" s="61"/>
      <c r="E98" s="62"/>
      <c r="F98" s="62"/>
      <c r="G98" s="62"/>
      <c r="H98" s="63"/>
      <c r="I98" s="64" t="s">
        <v>4</v>
      </c>
      <c r="J98" s="47"/>
      <c r="K98" s="48"/>
      <c r="L98" s="48"/>
      <c r="M98" s="36" t="n">
        <f aca="false">MIN(J98:L98)</f>
        <v>0</v>
      </c>
      <c r="N98" s="37" t="e">
        <f aca="false">SUM(M98/E98)</f>
        <v>#DIV/0!</v>
      </c>
    </row>
    <row r="99" s="2" customFormat="true" ht="15" hidden="false" customHeight="true" outlineLevel="0" collapsed="false">
      <c r="C99" s="61"/>
      <c r="D99" s="61"/>
      <c r="E99" s="49" t="s">
        <v>6</v>
      </c>
      <c r="F99" s="50"/>
      <c r="G99" s="51" t="s">
        <v>7</v>
      </c>
      <c r="H99" s="52" t="s">
        <v>8</v>
      </c>
      <c r="I99" s="64"/>
      <c r="J99" s="47"/>
      <c r="K99" s="48"/>
      <c r="L99" s="48"/>
      <c r="M99" s="36" t="n">
        <f aca="false">MIN(J99:L99)</f>
        <v>0</v>
      </c>
      <c r="N99" s="37" t="e">
        <f aca="false">SUM(M99/E99)</f>
        <v>#VALUE!</v>
      </c>
    </row>
    <row r="100" s="27" customFormat="true" ht="12.75" hidden="false" customHeight="false" outlineLevel="0" collapsed="false">
      <c r="C100" s="28" t="s">
        <v>98</v>
      </c>
      <c r="D100" s="29"/>
      <c r="E100" s="30"/>
      <c r="F100" s="31"/>
      <c r="G100" s="32"/>
      <c r="H100" s="38"/>
      <c r="I100" s="34" t="s">
        <v>13</v>
      </c>
      <c r="J100" s="35"/>
      <c r="K100" s="36"/>
      <c r="L100" s="36"/>
      <c r="M100" s="36" t="n">
        <f aca="false">MIN(J100:L100)</f>
        <v>0</v>
      </c>
      <c r="N100" s="37" t="e">
        <f aca="false">SUM(M100/E100)</f>
        <v>#DIV/0!</v>
      </c>
    </row>
    <row r="101" s="27" customFormat="true" ht="12.75" hidden="false" customHeight="false" outlineLevel="0" collapsed="false">
      <c r="C101" s="28" t="s">
        <v>99</v>
      </c>
      <c r="D101" s="29"/>
      <c r="E101" s="30"/>
      <c r="F101" s="31"/>
      <c r="G101" s="32"/>
      <c r="H101" s="38"/>
      <c r="I101" s="34" t="s">
        <v>13</v>
      </c>
      <c r="J101" s="35"/>
      <c r="K101" s="36"/>
      <c r="L101" s="36"/>
      <c r="M101" s="36" t="n">
        <f aca="false">MIN(J101:L101)</f>
        <v>0</v>
      </c>
      <c r="N101" s="37" t="e">
        <f aca="false">SUM(M101/E101)</f>
        <v>#DIV/0!</v>
      </c>
    </row>
    <row r="102" s="27" customFormat="true" ht="12.75" hidden="false" customHeight="false" outlineLevel="0" collapsed="false">
      <c r="C102" s="28" t="s">
        <v>100</v>
      </c>
      <c r="D102" s="29"/>
      <c r="E102" s="30"/>
      <c r="F102" s="31"/>
      <c r="G102" s="32"/>
      <c r="H102" s="38"/>
      <c r="I102" s="34" t="s">
        <v>13</v>
      </c>
      <c r="J102" s="35"/>
      <c r="K102" s="36"/>
      <c r="L102" s="36"/>
      <c r="M102" s="36" t="n">
        <f aca="false">MIN(J102:L102)</f>
        <v>0</v>
      </c>
      <c r="N102" s="37" t="e">
        <f aca="false">SUM(M102/E102)</f>
        <v>#DIV/0!</v>
      </c>
    </row>
    <row r="103" s="27" customFormat="true" ht="12.75" hidden="false" customHeight="false" outlineLevel="0" collapsed="false">
      <c r="C103" s="39" t="s">
        <v>101</v>
      </c>
      <c r="D103" s="29"/>
      <c r="E103" s="30"/>
      <c r="F103" s="31"/>
      <c r="G103" s="32"/>
      <c r="H103" s="38"/>
      <c r="I103" s="34" t="s">
        <v>13</v>
      </c>
      <c r="J103" s="35"/>
      <c r="K103" s="36"/>
      <c r="L103" s="36"/>
      <c r="M103" s="36" t="n">
        <f aca="false">MIN(J103:L103)</f>
        <v>0</v>
      </c>
      <c r="N103" s="37" t="e">
        <f aca="false">SUM(M103/E103)</f>
        <v>#DIV/0!</v>
      </c>
    </row>
    <row r="104" s="27" customFormat="true" ht="12.75" hidden="false" customHeight="false" outlineLevel="0" collapsed="false">
      <c r="C104" s="39" t="s">
        <v>102</v>
      </c>
      <c r="D104" s="29"/>
      <c r="E104" s="30"/>
      <c r="F104" s="31"/>
      <c r="G104" s="32"/>
      <c r="H104" s="38"/>
      <c r="I104" s="34" t="s">
        <v>13</v>
      </c>
      <c r="J104" s="35"/>
      <c r="K104" s="36"/>
      <c r="L104" s="36"/>
      <c r="M104" s="36"/>
      <c r="N104" s="37"/>
    </row>
    <row r="105" s="27" customFormat="true" ht="12.75" hidden="false" customHeight="false" outlineLevel="0" collapsed="false">
      <c r="C105" s="40" t="s">
        <v>103</v>
      </c>
      <c r="D105" s="29"/>
      <c r="E105" s="30"/>
      <c r="F105" s="31"/>
      <c r="G105" s="32"/>
      <c r="H105" s="38"/>
      <c r="I105" s="34" t="s">
        <v>13</v>
      </c>
      <c r="J105" s="35"/>
      <c r="K105" s="36"/>
      <c r="L105" s="36"/>
      <c r="M105" s="36" t="n">
        <f aca="false">MIN(J105:L105)</f>
        <v>0</v>
      </c>
      <c r="N105" s="37" t="e">
        <f aca="false">SUM(M105/E105)</f>
        <v>#DIV/0!</v>
      </c>
    </row>
    <row r="106" s="27" customFormat="true" ht="12.75" hidden="false" customHeight="false" outlineLevel="0" collapsed="false">
      <c r="C106" s="40" t="s">
        <v>104</v>
      </c>
      <c r="D106" s="29"/>
      <c r="E106" s="30"/>
      <c r="F106" s="31"/>
      <c r="G106" s="32"/>
      <c r="H106" s="38"/>
      <c r="I106" s="34" t="s">
        <v>13</v>
      </c>
      <c r="J106" s="35"/>
      <c r="K106" s="36"/>
      <c r="L106" s="36"/>
      <c r="M106" s="36"/>
      <c r="N106" s="37"/>
    </row>
    <row r="107" s="27" customFormat="true" ht="12.75" hidden="false" customHeight="false" outlineLevel="0" collapsed="false">
      <c r="C107" s="40" t="s">
        <v>105</v>
      </c>
      <c r="D107" s="29"/>
      <c r="E107" s="30"/>
      <c r="F107" s="31"/>
      <c r="G107" s="32"/>
      <c r="H107" s="38"/>
      <c r="I107" s="34" t="s">
        <v>11</v>
      </c>
      <c r="J107" s="35"/>
      <c r="K107" s="36"/>
      <c r="L107" s="36"/>
      <c r="M107" s="36"/>
      <c r="N107" s="37"/>
    </row>
    <row r="108" s="27" customFormat="true" ht="12.75" hidden="false" customHeight="false" outlineLevel="0" collapsed="false">
      <c r="C108" s="40" t="s">
        <v>106</v>
      </c>
      <c r="D108" s="29"/>
      <c r="E108" s="30"/>
      <c r="F108" s="31"/>
      <c r="G108" s="32"/>
      <c r="H108" s="38"/>
      <c r="I108" s="34" t="s">
        <v>11</v>
      </c>
      <c r="J108" s="35"/>
      <c r="K108" s="36"/>
      <c r="L108" s="36"/>
      <c r="M108" s="36"/>
      <c r="N108" s="37"/>
    </row>
    <row r="109" s="27" customFormat="true" ht="12.75" hidden="false" customHeight="false" outlineLevel="0" collapsed="false">
      <c r="C109" s="40" t="s">
        <v>107</v>
      </c>
      <c r="D109" s="29"/>
      <c r="E109" s="30"/>
      <c r="F109" s="31"/>
      <c r="G109" s="32"/>
      <c r="H109" s="38"/>
      <c r="I109" s="34" t="s">
        <v>13</v>
      </c>
      <c r="J109" s="35"/>
      <c r="K109" s="36"/>
      <c r="L109" s="36"/>
      <c r="M109" s="36"/>
      <c r="N109" s="37"/>
    </row>
    <row r="110" s="27" customFormat="true" ht="12.75" hidden="false" customHeight="false" outlineLevel="0" collapsed="false">
      <c r="C110" s="40" t="s">
        <v>108</v>
      </c>
      <c r="D110" s="29"/>
      <c r="E110" s="30"/>
      <c r="F110" s="31"/>
      <c r="G110" s="32"/>
      <c r="H110" s="38"/>
      <c r="I110" s="34" t="s">
        <v>13</v>
      </c>
      <c r="J110" s="35"/>
      <c r="K110" s="36"/>
      <c r="L110" s="36"/>
      <c r="M110" s="36"/>
      <c r="N110" s="37"/>
    </row>
    <row r="111" s="27" customFormat="true" ht="12.75" hidden="false" customHeight="false" outlineLevel="0" collapsed="false">
      <c r="C111" s="40" t="s">
        <v>109</v>
      </c>
      <c r="D111" s="29"/>
      <c r="E111" s="30"/>
      <c r="F111" s="31"/>
      <c r="G111" s="32"/>
      <c r="H111" s="38"/>
      <c r="I111" s="34" t="s">
        <v>13</v>
      </c>
      <c r="J111" s="35"/>
      <c r="K111" s="36"/>
      <c r="L111" s="36"/>
      <c r="M111" s="36"/>
      <c r="N111" s="37"/>
    </row>
    <row r="112" s="27" customFormat="true" ht="12.75" hidden="false" customHeight="false" outlineLevel="0" collapsed="false">
      <c r="C112" s="40" t="s">
        <v>110</v>
      </c>
      <c r="D112" s="29"/>
      <c r="E112" s="30"/>
      <c r="F112" s="31"/>
      <c r="G112" s="32"/>
      <c r="H112" s="38"/>
      <c r="I112" s="34" t="s">
        <v>13</v>
      </c>
      <c r="J112" s="35"/>
      <c r="K112" s="36"/>
      <c r="L112" s="36"/>
      <c r="M112" s="36"/>
      <c r="N112" s="37"/>
    </row>
    <row r="113" s="27" customFormat="true" ht="12.75" hidden="false" customHeight="false" outlineLevel="0" collapsed="false">
      <c r="C113" s="40" t="s">
        <v>111</v>
      </c>
      <c r="D113" s="29"/>
      <c r="E113" s="30"/>
      <c r="F113" s="31"/>
      <c r="G113" s="32"/>
      <c r="H113" s="38"/>
      <c r="I113" s="34" t="s">
        <v>13</v>
      </c>
      <c r="J113" s="35"/>
      <c r="K113" s="36"/>
      <c r="L113" s="36"/>
      <c r="M113" s="36"/>
      <c r="N113" s="37"/>
    </row>
    <row r="114" s="27" customFormat="true" ht="12.75" hidden="false" customHeight="false" outlineLevel="0" collapsed="false">
      <c r="C114" s="40" t="s">
        <v>112</v>
      </c>
      <c r="D114" s="29"/>
      <c r="E114" s="30"/>
      <c r="F114" s="31"/>
      <c r="G114" s="32"/>
      <c r="H114" s="38"/>
      <c r="I114" s="34" t="s">
        <v>13</v>
      </c>
      <c r="J114" s="35"/>
      <c r="K114" s="36"/>
      <c r="L114" s="36"/>
      <c r="M114" s="36"/>
      <c r="N114" s="37"/>
    </row>
    <row r="115" s="27" customFormat="true" ht="12.75" hidden="false" customHeight="false" outlineLevel="0" collapsed="false">
      <c r="C115" s="40" t="s">
        <v>113</v>
      </c>
      <c r="D115" s="29"/>
      <c r="E115" s="30"/>
      <c r="F115" s="31"/>
      <c r="G115" s="32"/>
      <c r="H115" s="38"/>
      <c r="I115" s="34" t="s">
        <v>13</v>
      </c>
      <c r="J115" s="35"/>
      <c r="K115" s="36"/>
      <c r="L115" s="36"/>
      <c r="M115" s="36"/>
      <c r="N115" s="37"/>
    </row>
    <row r="116" s="27" customFormat="true" ht="12.75" hidden="false" customHeight="false" outlineLevel="0" collapsed="false">
      <c r="C116" s="40" t="s">
        <v>114</v>
      </c>
      <c r="D116" s="29"/>
      <c r="E116" s="30"/>
      <c r="F116" s="31"/>
      <c r="G116" s="32"/>
      <c r="H116" s="38"/>
      <c r="I116" s="34" t="s">
        <v>13</v>
      </c>
      <c r="J116" s="35"/>
      <c r="K116" s="36"/>
      <c r="L116" s="36"/>
      <c r="M116" s="36"/>
      <c r="N116" s="37"/>
    </row>
    <row r="117" s="27" customFormat="true" ht="12.75" hidden="false" customHeight="false" outlineLevel="0" collapsed="false">
      <c r="C117" s="40" t="s">
        <v>115</v>
      </c>
      <c r="D117" s="29"/>
      <c r="E117" s="30"/>
      <c r="F117" s="31"/>
      <c r="G117" s="32"/>
      <c r="H117" s="38"/>
      <c r="I117" s="34" t="s">
        <v>13</v>
      </c>
      <c r="J117" s="35"/>
      <c r="K117" s="36"/>
      <c r="L117" s="36"/>
      <c r="M117" s="36"/>
      <c r="N117" s="37"/>
    </row>
    <row r="118" s="27" customFormat="true" ht="12.75" hidden="false" customHeight="false" outlineLevel="0" collapsed="false">
      <c r="C118" s="40" t="s">
        <v>116</v>
      </c>
      <c r="D118" s="29"/>
      <c r="E118" s="30"/>
      <c r="F118" s="31"/>
      <c r="G118" s="32"/>
      <c r="H118" s="38"/>
      <c r="I118" s="34" t="s">
        <v>13</v>
      </c>
      <c r="J118" s="35"/>
      <c r="K118" s="36"/>
      <c r="L118" s="36"/>
      <c r="M118" s="36"/>
      <c r="N118" s="37"/>
    </row>
    <row r="119" s="27" customFormat="true" ht="12.75" hidden="false" customHeight="false" outlineLevel="0" collapsed="false">
      <c r="C119" s="40"/>
      <c r="D119" s="29"/>
      <c r="E119" s="30"/>
      <c r="F119" s="31"/>
      <c r="G119" s="32"/>
      <c r="H119" s="38"/>
      <c r="I119" s="43"/>
      <c r="J119" s="35"/>
      <c r="K119" s="36"/>
      <c r="L119" s="36"/>
      <c r="M119" s="36"/>
      <c r="N119" s="37"/>
    </row>
    <row r="120" s="27" customFormat="true" ht="12.75" hidden="false" customHeight="false" outlineLevel="0" collapsed="false">
      <c r="C120" s="40"/>
      <c r="D120" s="29"/>
      <c r="E120" s="30"/>
      <c r="F120" s="31"/>
      <c r="G120" s="32"/>
      <c r="H120" s="38"/>
      <c r="I120" s="43"/>
      <c r="J120" s="35"/>
      <c r="K120" s="36"/>
      <c r="L120" s="36"/>
      <c r="M120" s="36"/>
      <c r="N120" s="37"/>
    </row>
    <row r="121" s="27" customFormat="true" ht="12.75" hidden="false" customHeight="false" outlineLevel="0" collapsed="false">
      <c r="C121" s="40"/>
      <c r="D121" s="29"/>
      <c r="E121" s="30"/>
      <c r="F121" s="31"/>
      <c r="G121" s="32"/>
      <c r="H121" s="38"/>
      <c r="I121" s="43"/>
      <c r="J121" s="35"/>
      <c r="K121" s="36"/>
      <c r="L121" s="36"/>
      <c r="M121" s="36"/>
      <c r="N121" s="37"/>
    </row>
    <row r="122" s="27" customFormat="true" ht="12.75" hidden="false" customHeight="false" outlineLevel="0" collapsed="false">
      <c r="C122" s="40"/>
      <c r="D122" s="29"/>
      <c r="E122" s="30"/>
      <c r="F122" s="31"/>
      <c r="G122" s="32"/>
      <c r="H122" s="38"/>
      <c r="I122" s="43"/>
      <c r="J122" s="35"/>
      <c r="K122" s="36"/>
      <c r="L122" s="36"/>
      <c r="M122" s="36"/>
      <c r="N122" s="37"/>
    </row>
    <row r="123" s="27" customFormat="true" ht="12.75" hidden="false" customHeight="false" outlineLevel="0" collapsed="false">
      <c r="C123" s="40"/>
      <c r="D123" s="29"/>
      <c r="E123" s="30"/>
      <c r="F123" s="31"/>
      <c r="G123" s="32"/>
      <c r="H123" s="38"/>
      <c r="I123" s="43"/>
      <c r="J123" s="35"/>
      <c r="K123" s="36"/>
      <c r="L123" s="36"/>
      <c r="M123" s="36" t="n">
        <f aca="false">MIN(J123:L123)</f>
        <v>0</v>
      </c>
      <c r="N123" s="37" t="e">
        <f aca="false">SUM(M123/E123)</f>
        <v>#DIV/0!</v>
      </c>
    </row>
    <row r="124" s="2" customFormat="true" ht="12.75" hidden="false" customHeight="true" outlineLevel="0" collapsed="false">
      <c r="C124" s="65" t="s">
        <v>117</v>
      </c>
      <c r="D124" s="65"/>
      <c r="E124" s="45"/>
      <c r="F124" s="45"/>
      <c r="G124" s="45"/>
      <c r="H124" s="46"/>
      <c r="I124" s="15" t="s">
        <v>4</v>
      </c>
      <c r="J124" s="47"/>
      <c r="K124" s="48"/>
      <c r="L124" s="48"/>
      <c r="M124" s="36" t="n">
        <f aca="false">MIN(J124:L124)</f>
        <v>0</v>
      </c>
      <c r="N124" s="37" t="e">
        <f aca="false">SUM(M124/E124)</f>
        <v>#DIV/0!</v>
      </c>
    </row>
    <row r="125" s="2" customFormat="true" ht="15" hidden="false" customHeight="true" outlineLevel="0" collapsed="false">
      <c r="C125" s="65"/>
      <c r="D125" s="65"/>
      <c r="E125" s="49" t="s">
        <v>6</v>
      </c>
      <c r="F125" s="50"/>
      <c r="G125" s="51" t="s">
        <v>7</v>
      </c>
      <c r="H125" s="52" t="s">
        <v>8</v>
      </c>
      <c r="I125" s="15"/>
      <c r="J125" s="47"/>
      <c r="K125" s="48"/>
      <c r="L125" s="48"/>
      <c r="M125" s="36" t="n">
        <f aca="false">MIN(J125:L125)</f>
        <v>0</v>
      </c>
      <c r="N125" s="37" t="e">
        <f aca="false">SUM(M125/E125)</f>
        <v>#VALUE!</v>
      </c>
    </row>
    <row r="126" s="27" customFormat="true" ht="12.75" hidden="false" customHeight="false" outlineLevel="0" collapsed="false">
      <c r="C126" s="28" t="s">
        <v>118</v>
      </c>
      <c r="D126" s="29"/>
      <c r="E126" s="30"/>
      <c r="F126" s="31"/>
      <c r="G126" s="32"/>
      <c r="H126" s="38"/>
      <c r="I126" s="66" t="s">
        <v>11</v>
      </c>
      <c r="J126" s="35"/>
      <c r="K126" s="36"/>
      <c r="L126" s="36"/>
      <c r="M126" s="36" t="n">
        <f aca="false">MIN(J126:L126)</f>
        <v>0</v>
      </c>
      <c r="N126" s="37" t="e">
        <f aca="false">SUM(M126/E126)</f>
        <v>#DIV/0!</v>
      </c>
    </row>
    <row r="127" s="27" customFormat="true" ht="12.75" hidden="false" customHeight="false" outlineLevel="0" collapsed="false">
      <c r="C127" s="28" t="s">
        <v>119</v>
      </c>
      <c r="D127" s="29"/>
      <c r="E127" s="30"/>
      <c r="F127" s="31"/>
      <c r="G127" s="32"/>
      <c r="H127" s="38"/>
      <c r="I127" s="66" t="s">
        <v>11</v>
      </c>
      <c r="J127" s="35"/>
      <c r="K127" s="36"/>
      <c r="L127" s="36"/>
      <c r="M127" s="36" t="n">
        <f aca="false">MIN(J127:L127)</f>
        <v>0</v>
      </c>
      <c r="N127" s="37" t="e">
        <f aca="false">SUM(M127/E127)</f>
        <v>#DIV/0!</v>
      </c>
    </row>
    <row r="128" s="27" customFormat="true" ht="12.75" hidden="false" customHeight="false" outlineLevel="0" collapsed="false">
      <c r="C128" s="28" t="s">
        <v>120</v>
      </c>
      <c r="D128" s="29"/>
      <c r="E128" s="30"/>
      <c r="F128" s="31"/>
      <c r="G128" s="32"/>
      <c r="H128" s="38"/>
      <c r="I128" s="66" t="s">
        <v>13</v>
      </c>
      <c r="J128" s="35"/>
      <c r="K128" s="36"/>
      <c r="L128" s="36"/>
      <c r="M128" s="36" t="n">
        <f aca="false">MIN(J128:L128)</f>
        <v>0</v>
      </c>
      <c r="N128" s="37" t="e">
        <f aca="false">SUM(M128/E128)</f>
        <v>#DIV/0!</v>
      </c>
    </row>
    <row r="129" s="27" customFormat="true" ht="12.75" hidden="false" customHeight="false" outlineLevel="0" collapsed="false">
      <c r="C129" s="28" t="s">
        <v>121</v>
      </c>
      <c r="D129" s="29"/>
      <c r="E129" s="30"/>
      <c r="F129" s="31"/>
      <c r="G129" s="32"/>
      <c r="H129" s="38"/>
      <c r="I129" s="66" t="s">
        <v>11</v>
      </c>
      <c r="J129" s="35"/>
      <c r="K129" s="36"/>
      <c r="L129" s="36"/>
      <c r="M129" s="36" t="n">
        <f aca="false">MIN(J129:L129)</f>
        <v>0</v>
      </c>
      <c r="N129" s="37" t="e">
        <f aca="false">SUM(M129/E129)</f>
        <v>#DIV/0!</v>
      </c>
    </row>
    <row r="130" s="27" customFormat="true" ht="12.75" hidden="false" customHeight="false" outlineLevel="0" collapsed="false">
      <c r="C130" s="28" t="s">
        <v>122</v>
      </c>
      <c r="D130" s="29"/>
      <c r="E130" s="30"/>
      <c r="F130" s="31"/>
      <c r="G130" s="32"/>
      <c r="H130" s="38"/>
      <c r="I130" s="66" t="s">
        <v>13</v>
      </c>
      <c r="J130" s="35"/>
      <c r="K130" s="36"/>
      <c r="L130" s="36"/>
      <c r="M130" s="36" t="n">
        <f aca="false">MIN(J130:L130)</f>
        <v>0</v>
      </c>
      <c r="N130" s="37" t="e">
        <f aca="false">SUM(M130/E130)</f>
        <v>#DIV/0!</v>
      </c>
    </row>
    <row r="131" s="27" customFormat="true" ht="12.75" hidden="false" customHeight="false" outlineLevel="0" collapsed="false">
      <c r="C131" s="28" t="s">
        <v>123</v>
      </c>
      <c r="D131" s="29"/>
      <c r="E131" s="30"/>
      <c r="F131" s="31"/>
      <c r="G131" s="32"/>
      <c r="H131" s="38"/>
      <c r="I131" s="66" t="s">
        <v>13</v>
      </c>
      <c r="J131" s="35"/>
      <c r="K131" s="36"/>
      <c r="L131" s="36"/>
      <c r="M131" s="36" t="n">
        <f aca="false">MIN(J131:L131)</f>
        <v>0</v>
      </c>
      <c r="N131" s="37" t="e">
        <f aca="false">SUM(M131/E131)</f>
        <v>#DIV/0!</v>
      </c>
    </row>
    <row r="132" s="27" customFormat="true" ht="12.75" hidden="false" customHeight="false" outlineLevel="0" collapsed="false">
      <c r="C132" s="28" t="s">
        <v>124</v>
      </c>
      <c r="D132" s="29"/>
      <c r="E132" s="30"/>
      <c r="F132" s="31"/>
      <c r="G132" s="32"/>
      <c r="H132" s="38"/>
      <c r="I132" s="66" t="s">
        <v>13</v>
      </c>
      <c r="J132" s="35"/>
      <c r="K132" s="36"/>
      <c r="L132" s="36"/>
      <c r="M132" s="36" t="n">
        <f aca="false">MIN(J132:L132)</f>
        <v>0</v>
      </c>
      <c r="N132" s="37" t="e">
        <f aca="false">SUM(M132/E132)</f>
        <v>#DIV/0!</v>
      </c>
    </row>
    <row r="133" s="27" customFormat="true" ht="12.75" hidden="false" customHeight="false" outlineLevel="0" collapsed="false">
      <c r="C133" s="40" t="s">
        <v>125</v>
      </c>
      <c r="D133" s="29"/>
      <c r="E133" s="30"/>
      <c r="F133" s="31"/>
      <c r="G133" s="32"/>
      <c r="H133" s="38"/>
      <c r="I133" s="66" t="s">
        <v>13</v>
      </c>
      <c r="J133" s="35"/>
      <c r="K133" s="36"/>
      <c r="L133" s="36"/>
      <c r="M133" s="36" t="n">
        <f aca="false">MIN(J133:L133)</f>
        <v>0</v>
      </c>
      <c r="N133" s="37" t="e">
        <f aca="false">SUM(M133/E133)</f>
        <v>#DIV/0!</v>
      </c>
    </row>
    <row r="134" s="27" customFormat="true" ht="12.75" hidden="false" customHeight="false" outlineLevel="0" collapsed="false">
      <c r="C134" s="40"/>
      <c r="D134" s="29"/>
      <c r="E134" s="30"/>
      <c r="F134" s="31"/>
      <c r="G134" s="32"/>
      <c r="H134" s="38"/>
      <c r="I134" s="43"/>
      <c r="J134" s="35"/>
      <c r="K134" s="36"/>
      <c r="L134" s="36"/>
      <c r="M134" s="36" t="n">
        <f aca="false">MIN(J134:L134)</f>
        <v>0</v>
      </c>
      <c r="N134" s="37" t="e">
        <f aca="false">SUM(M134/E134)</f>
        <v>#DIV/0!</v>
      </c>
    </row>
    <row r="135" s="27" customFormat="true" ht="12.75" hidden="false" customHeight="false" outlineLevel="0" collapsed="false">
      <c r="C135" s="40"/>
      <c r="D135" s="29"/>
      <c r="E135" s="30"/>
      <c r="F135" s="31"/>
      <c r="G135" s="32"/>
      <c r="H135" s="38"/>
      <c r="I135" s="43"/>
      <c r="J135" s="35"/>
      <c r="K135" s="36"/>
      <c r="L135" s="36"/>
      <c r="M135" s="36" t="n">
        <f aca="false">MIN(J135:L135)</f>
        <v>0</v>
      </c>
      <c r="N135" s="37" t="e">
        <f aca="false">SUM(M135/E135)</f>
        <v>#DIV/0!</v>
      </c>
    </row>
    <row r="136" s="27" customFormat="true" ht="12.75" hidden="false" customHeight="false" outlineLevel="0" collapsed="false">
      <c r="C136" s="40" t="s">
        <v>126</v>
      </c>
      <c r="D136" s="29"/>
      <c r="E136" s="30"/>
      <c r="F136" s="31"/>
      <c r="G136" s="32"/>
      <c r="H136" s="38"/>
      <c r="I136" s="66" t="s">
        <v>13</v>
      </c>
      <c r="J136" s="35"/>
      <c r="K136" s="36"/>
      <c r="L136" s="36"/>
      <c r="M136" s="36"/>
      <c r="N136" s="37"/>
    </row>
    <row r="137" s="27" customFormat="true" ht="12.75" hidden="false" customHeight="false" outlineLevel="0" collapsed="false">
      <c r="C137" s="40" t="s">
        <v>127</v>
      </c>
      <c r="D137" s="29"/>
      <c r="E137" s="30"/>
      <c r="F137" s="31"/>
      <c r="G137" s="32"/>
      <c r="H137" s="38"/>
      <c r="I137" s="34" t="s">
        <v>11</v>
      </c>
      <c r="J137" s="35"/>
      <c r="K137" s="36"/>
      <c r="L137" s="36"/>
      <c r="M137" s="36"/>
      <c r="N137" s="37"/>
    </row>
    <row r="138" s="27" customFormat="true" ht="12.75" hidden="false" customHeight="false" outlineLevel="0" collapsed="false">
      <c r="C138" s="40" t="s">
        <v>128</v>
      </c>
      <c r="D138" s="29"/>
      <c r="E138" s="30"/>
      <c r="F138" s="31"/>
      <c r="G138" s="32"/>
      <c r="H138" s="38"/>
      <c r="I138" s="34" t="s">
        <v>11</v>
      </c>
      <c r="J138" s="35"/>
      <c r="K138" s="36"/>
      <c r="L138" s="36"/>
      <c r="M138" s="36"/>
      <c r="N138" s="37"/>
    </row>
    <row r="139" s="27" customFormat="true" ht="12.75" hidden="false" customHeight="false" outlineLevel="0" collapsed="false">
      <c r="C139" s="40" t="s">
        <v>129</v>
      </c>
      <c r="D139" s="29"/>
      <c r="E139" s="30"/>
      <c r="F139" s="31"/>
      <c r="G139" s="32"/>
      <c r="H139" s="38"/>
      <c r="I139" s="34" t="s">
        <v>13</v>
      </c>
      <c r="J139" s="35"/>
      <c r="K139" s="36"/>
      <c r="L139" s="36"/>
      <c r="M139" s="36"/>
      <c r="N139" s="37"/>
    </row>
    <row r="140" s="27" customFormat="true" ht="12.75" hidden="false" customHeight="false" outlineLevel="0" collapsed="false">
      <c r="C140" s="40" t="s">
        <v>130</v>
      </c>
      <c r="D140" s="29"/>
      <c r="E140" s="30"/>
      <c r="F140" s="31"/>
      <c r="G140" s="32"/>
      <c r="H140" s="38"/>
      <c r="I140" s="34" t="s">
        <v>13</v>
      </c>
      <c r="J140" s="35"/>
      <c r="K140" s="36"/>
      <c r="L140" s="36"/>
      <c r="M140" s="36" t="n">
        <f aca="false">MIN(J140:L140)</f>
        <v>0</v>
      </c>
      <c r="N140" s="37" t="e">
        <f aca="false">SUM(M140/E140)</f>
        <v>#DIV/0!</v>
      </c>
    </row>
    <row r="141" s="2" customFormat="true" ht="12.75" hidden="false" customHeight="true" outlineLevel="0" collapsed="false">
      <c r="C141" s="65" t="s">
        <v>131</v>
      </c>
      <c r="D141" s="65"/>
      <c r="E141" s="45"/>
      <c r="F141" s="45"/>
      <c r="G141" s="45"/>
      <c r="H141" s="46"/>
      <c r="I141" s="15" t="s">
        <v>4</v>
      </c>
      <c r="J141" s="47"/>
      <c r="K141" s="48"/>
      <c r="L141" s="48"/>
      <c r="M141" s="36" t="n">
        <f aca="false">MIN(J141:L141)</f>
        <v>0</v>
      </c>
      <c r="N141" s="37" t="e">
        <f aca="false">SUM(M141/E141)</f>
        <v>#DIV/0!</v>
      </c>
    </row>
    <row r="142" s="2" customFormat="true" ht="15" hidden="false" customHeight="true" outlineLevel="0" collapsed="false">
      <c r="C142" s="65"/>
      <c r="D142" s="65"/>
      <c r="E142" s="49" t="s">
        <v>6</v>
      </c>
      <c r="F142" s="50"/>
      <c r="G142" s="51" t="s">
        <v>7</v>
      </c>
      <c r="H142" s="52" t="s">
        <v>8</v>
      </c>
      <c r="I142" s="15"/>
      <c r="J142" s="47"/>
      <c r="K142" s="48"/>
      <c r="L142" s="48"/>
      <c r="M142" s="36" t="n">
        <f aca="false">MIN(J142:L142)</f>
        <v>0</v>
      </c>
      <c r="N142" s="37" t="e">
        <f aca="false">SUM(M142/E142)</f>
        <v>#VALUE!</v>
      </c>
    </row>
    <row r="143" s="27" customFormat="true" ht="12.75" hidden="false" customHeight="false" outlineLevel="0" collapsed="false">
      <c r="C143" s="39" t="s">
        <v>132</v>
      </c>
      <c r="D143" s="29"/>
      <c r="E143" s="30"/>
      <c r="F143" s="31"/>
      <c r="G143" s="32"/>
      <c r="H143" s="38"/>
      <c r="I143" s="66" t="s">
        <v>13</v>
      </c>
      <c r="J143" s="35"/>
      <c r="K143" s="36"/>
      <c r="L143" s="36"/>
      <c r="M143" s="36" t="n">
        <f aca="false">MIN(J143:L143)</f>
        <v>0</v>
      </c>
      <c r="N143" s="37" t="e">
        <f aca="false">SUM(M143/E143)</f>
        <v>#DIV/0!</v>
      </c>
    </row>
    <row r="144" s="27" customFormat="true" ht="12.75" hidden="false" customHeight="false" outlineLevel="0" collapsed="false">
      <c r="C144" s="39" t="s">
        <v>133</v>
      </c>
      <c r="D144" s="29"/>
      <c r="E144" s="30"/>
      <c r="F144" s="31"/>
      <c r="G144" s="32"/>
      <c r="H144" s="38"/>
      <c r="I144" s="66" t="s">
        <v>13</v>
      </c>
      <c r="J144" s="35"/>
      <c r="K144" s="36"/>
      <c r="L144" s="36"/>
      <c r="M144" s="36" t="n">
        <f aca="false">MIN(J144:L144)</f>
        <v>0</v>
      </c>
      <c r="N144" s="37" t="e">
        <f aca="false">SUM(M144/E144)</f>
        <v>#DIV/0!</v>
      </c>
    </row>
    <row r="145" s="27" customFormat="true" ht="12.75" hidden="false" customHeight="false" outlineLevel="0" collapsed="false">
      <c r="C145" s="39" t="s">
        <v>134</v>
      </c>
      <c r="D145" s="29"/>
      <c r="E145" s="30"/>
      <c r="F145" s="31"/>
      <c r="G145" s="32"/>
      <c r="H145" s="38"/>
      <c r="I145" s="66" t="s">
        <v>13</v>
      </c>
      <c r="J145" s="35"/>
      <c r="K145" s="36"/>
      <c r="L145" s="36"/>
      <c r="M145" s="36" t="n">
        <f aca="false">MIN(J145:L145)</f>
        <v>0</v>
      </c>
      <c r="N145" s="37" t="e">
        <f aca="false">SUM(M145/E145)</f>
        <v>#DIV/0!</v>
      </c>
    </row>
    <row r="146" s="27" customFormat="true" ht="12.75" hidden="false" customHeight="false" outlineLevel="0" collapsed="false">
      <c r="C146" s="39" t="s">
        <v>135</v>
      </c>
      <c r="D146" s="29"/>
      <c r="E146" s="30"/>
      <c r="F146" s="31"/>
      <c r="G146" s="32"/>
      <c r="H146" s="38"/>
      <c r="I146" s="66" t="s">
        <v>13</v>
      </c>
      <c r="J146" s="35"/>
      <c r="K146" s="36"/>
      <c r="L146" s="36"/>
      <c r="M146" s="36" t="n">
        <f aca="false">MIN(J146:L146)</f>
        <v>0</v>
      </c>
      <c r="N146" s="37" t="e">
        <f aca="false">SUM(M146/E146)</f>
        <v>#DIV/0!</v>
      </c>
    </row>
    <row r="147" s="27" customFormat="true" ht="12.75" hidden="false" customHeight="false" outlineLevel="0" collapsed="false">
      <c r="C147" s="39" t="s">
        <v>136</v>
      </c>
      <c r="D147" s="29"/>
      <c r="E147" s="30"/>
      <c r="F147" s="31"/>
      <c r="G147" s="32"/>
      <c r="H147" s="38"/>
      <c r="I147" s="66" t="s">
        <v>13</v>
      </c>
      <c r="J147" s="35"/>
      <c r="K147" s="36"/>
      <c r="L147" s="36"/>
      <c r="M147" s="36" t="n">
        <f aca="false">MIN(J147:L147)</f>
        <v>0</v>
      </c>
      <c r="N147" s="37" t="e">
        <f aca="false">SUM(M147/E147)</f>
        <v>#DIV/0!</v>
      </c>
    </row>
    <row r="148" s="27" customFormat="true" ht="12.75" hidden="false" customHeight="false" outlineLevel="0" collapsed="false">
      <c r="C148" s="39" t="s">
        <v>137</v>
      </c>
      <c r="D148" s="29"/>
      <c r="E148" s="30"/>
      <c r="F148" s="31"/>
      <c r="G148" s="32"/>
      <c r="H148" s="38"/>
      <c r="I148" s="67"/>
      <c r="J148" s="35"/>
      <c r="K148" s="36"/>
      <c r="L148" s="36"/>
      <c r="M148" s="36" t="n">
        <f aca="false">MIN(J148:L148)</f>
        <v>0</v>
      </c>
      <c r="N148" s="37" t="e">
        <f aca="false">SUM(M148/E148)</f>
        <v>#DIV/0!</v>
      </c>
    </row>
    <row r="149" s="27" customFormat="true" ht="12.75" hidden="false" customHeight="false" outlineLevel="0" collapsed="false">
      <c r="C149" s="39" t="s">
        <v>138</v>
      </c>
      <c r="D149" s="29"/>
      <c r="E149" s="30"/>
      <c r="F149" s="31"/>
      <c r="G149" s="32"/>
      <c r="H149" s="38"/>
      <c r="I149" s="66" t="s">
        <v>13</v>
      </c>
      <c r="J149" s="35"/>
      <c r="K149" s="36"/>
      <c r="L149" s="36"/>
      <c r="M149" s="36" t="n">
        <f aca="false">MIN(J149:L149)</f>
        <v>0</v>
      </c>
      <c r="N149" s="37" t="e">
        <f aca="false">SUM(M149/E149)</f>
        <v>#DIV/0!</v>
      </c>
    </row>
    <row r="150" s="27" customFormat="true" ht="12.75" hidden="false" customHeight="false" outlineLevel="0" collapsed="false">
      <c r="C150" s="39" t="s">
        <v>139</v>
      </c>
      <c r="D150" s="29"/>
      <c r="E150" s="30"/>
      <c r="F150" s="31"/>
      <c r="G150" s="32"/>
      <c r="H150" s="38"/>
      <c r="I150" s="66" t="s">
        <v>13</v>
      </c>
      <c r="J150" s="35"/>
      <c r="K150" s="36"/>
      <c r="L150" s="36"/>
      <c r="M150" s="36" t="n">
        <f aca="false">MIN(J150:L150)</f>
        <v>0</v>
      </c>
      <c r="N150" s="37" t="e">
        <f aca="false">SUM(M150/E150)</f>
        <v>#DIV/0!</v>
      </c>
    </row>
    <row r="151" s="27" customFormat="true" ht="12.75" hidden="false" customHeight="false" outlineLevel="0" collapsed="false">
      <c r="C151" s="39" t="s">
        <v>140</v>
      </c>
      <c r="D151" s="29"/>
      <c r="E151" s="30"/>
      <c r="F151" s="31"/>
      <c r="G151" s="32"/>
      <c r="H151" s="38"/>
      <c r="I151" s="66" t="s">
        <v>13</v>
      </c>
      <c r="J151" s="35"/>
      <c r="K151" s="36"/>
      <c r="L151" s="36"/>
      <c r="M151" s="36"/>
      <c r="N151" s="37"/>
    </row>
    <row r="152" s="27" customFormat="true" ht="12.75" hidden="false" customHeight="false" outlineLevel="0" collapsed="false">
      <c r="C152" s="39" t="s">
        <v>141</v>
      </c>
      <c r="D152" s="29"/>
      <c r="E152" s="30"/>
      <c r="F152" s="31"/>
      <c r="G152" s="32"/>
      <c r="H152" s="38"/>
      <c r="I152" s="66" t="s">
        <v>13</v>
      </c>
      <c r="J152" s="35"/>
      <c r="K152" s="36"/>
      <c r="L152" s="36"/>
      <c r="M152" s="36"/>
      <c r="N152" s="37"/>
    </row>
    <row r="153" s="27" customFormat="true" ht="12.75" hidden="false" customHeight="false" outlineLevel="0" collapsed="false">
      <c r="C153" s="39" t="s">
        <v>142</v>
      </c>
      <c r="D153" s="29"/>
      <c r="E153" s="30"/>
      <c r="F153" s="31"/>
      <c r="G153" s="32"/>
      <c r="H153" s="38"/>
      <c r="I153" s="66" t="s">
        <v>11</v>
      </c>
      <c r="J153" s="35"/>
      <c r="K153" s="36"/>
      <c r="L153" s="36"/>
      <c r="M153" s="36"/>
      <c r="N153" s="37"/>
    </row>
    <row r="154" s="27" customFormat="true" ht="12.75" hidden="false" customHeight="false" outlineLevel="0" collapsed="false">
      <c r="C154" s="39" t="s">
        <v>143</v>
      </c>
      <c r="D154" s="29"/>
      <c r="E154" s="30"/>
      <c r="F154" s="31"/>
      <c r="G154" s="32"/>
      <c r="H154" s="38"/>
      <c r="I154" s="67"/>
      <c r="J154" s="35"/>
      <c r="K154" s="36"/>
      <c r="L154" s="36"/>
      <c r="M154" s="36"/>
      <c r="N154" s="37"/>
    </row>
    <row r="155" s="27" customFormat="true" ht="12.75" hidden="false" customHeight="false" outlineLevel="0" collapsed="false">
      <c r="C155" s="39" t="s">
        <v>144</v>
      </c>
      <c r="D155" s="29"/>
      <c r="E155" s="30"/>
      <c r="F155" s="31"/>
      <c r="G155" s="32"/>
      <c r="H155" s="38"/>
      <c r="I155" s="66" t="s">
        <v>13</v>
      </c>
      <c r="J155" s="35"/>
      <c r="K155" s="36"/>
      <c r="L155" s="36"/>
      <c r="M155" s="36" t="n">
        <f aca="false">MIN(J155:L155)</f>
        <v>0</v>
      </c>
      <c r="N155" s="37" t="e">
        <f aca="false">SUM(M155/E155)</f>
        <v>#DIV/0!</v>
      </c>
    </row>
    <row r="156" customFormat="false" ht="12.75" hidden="false" customHeight="false" outlineLevel="0" collapsed="false">
      <c r="C156" s="40" t="s">
        <v>145</v>
      </c>
      <c r="D156" s="29"/>
      <c r="E156" s="30"/>
      <c r="F156" s="31"/>
      <c r="G156" s="32"/>
      <c r="H156" s="38"/>
      <c r="I156" s="68" t="s">
        <v>13</v>
      </c>
      <c r="J156" s="69"/>
      <c r="K156" s="70"/>
      <c r="L156" s="70"/>
      <c r="M156" s="36" t="n">
        <f aca="false">MIN(J156:L156)</f>
        <v>0</v>
      </c>
      <c r="N156" s="37" t="e">
        <f aca="false">SUM(M156/E156)</f>
        <v>#DIV/0!</v>
      </c>
    </row>
    <row r="157" customFormat="false" ht="12.75" hidden="false" customHeight="false" outlineLevel="0" collapsed="false">
      <c r="C157" s="40" t="s">
        <v>146</v>
      </c>
      <c r="D157" s="29"/>
      <c r="E157" s="30"/>
      <c r="F157" s="31"/>
      <c r="G157" s="32"/>
      <c r="H157" s="38"/>
      <c r="I157" s="68" t="s">
        <v>13</v>
      </c>
      <c r="J157" s="69"/>
      <c r="K157" s="70"/>
      <c r="L157" s="70"/>
      <c r="M157" s="36"/>
      <c r="N157" s="37"/>
    </row>
    <row r="158" customFormat="false" ht="12.75" hidden="false" customHeight="false" outlineLevel="0" collapsed="false">
      <c r="C158" s="40" t="s">
        <v>147</v>
      </c>
      <c r="D158" s="29"/>
      <c r="E158" s="30"/>
      <c r="F158" s="31"/>
      <c r="G158" s="32"/>
      <c r="H158" s="38"/>
      <c r="I158" s="68"/>
      <c r="J158" s="69"/>
      <c r="K158" s="70"/>
      <c r="L158" s="70"/>
      <c r="M158" s="36"/>
      <c r="N158" s="37"/>
    </row>
    <row r="159" customFormat="false" ht="12.75" hidden="false" customHeight="false" outlineLevel="0" collapsed="false">
      <c r="C159" s="40" t="s">
        <v>148</v>
      </c>
      <c r="D159" s="29"/>
      <c r="E159" s="30"/>
      <c r="F159" s="31"/>
      <c r="G159" s="32"/>
      <c r="H159" s="38"/>
      <c r="I159" s="68" t="s">
        <v>13</v>
      </c>
      <c r="J159" s="69"/>
      <c r="K159" s="70"/>
      <c r="L159" s="70"/>
      <c r="M159" s="36"/>
      <c r="N159" s="37"/>
    </row>
    <row r="160" customFormat="false" ht="12.75" hidden="false" customHeight="false" outlineLevel="0" collapsed="false">
      <c r="C160" s="40" t="s">
        <v>149</v>
      </c>
      <c r="D160" s="29"/>
      <c r="E160" s="30"/>
      <c r="F160" s="31"/>
      <c r="G160" s="32"/>
      <c r="H160" s="38"/>
      <c r="I160" s="68" t="s">
        <v>13</v>
      </c>
      <c r="J160" s="69"/>
      <c r="K160" s="70"/>
      <c r="L160" s="70"/>
      <c r="M160" s="36"/>
      <c r="N160" s="37"/>
    </row>
    <row r="161" customFormat="false" ht="12.75" hidden="false" customHeight="false" outlineLevel="0" collapsed="false">
      <c r="C161" s="40" t="s">
        <v>150</v>
      </c>
      <c r="D161" s="29"/>
      <c r="E161" s="30"/>
      <c r="F161" s="31"/>
      <c r="G161" s="32"/>
      <c r="H161" s="38"/>
      <c r="I161" s="68" t="s">
        <v>13</v>
      </c>
      <c r="J161" s="69"/>
      <c r="K161" s="70"/>
      <c r="L161" s="70"/>
      <c r="M161" s="36"/>
      <c r="N161" s="37"/>
    </row>
    <row r="162" customFormat="false" ht="12.75" hidden="false" customHeight="false" outlineLevel="0" collapsed="false">
      <c r="C162" s="40" t="s">
        <v>151</v>
      </c>
      <c r="D162" s="29"/>
      <c r="E162" s="30"/>
      <c r="F162" s="31"/>
      <c r="G162" s="32"/>
      <c r="H162" s="38"/>
      <c r="I162" s="68" t="s">
        <v>13</v>
      </c>
      <c r="J162" s="69"/>
      <c r="K162" s="70"/>
      <c r="L162" s="70"/>
      <c r="M162" s="36"/>
      <c r="N162" s="37"/>
    </row>
    <row r="163" customFormat="false" ht="12.75" hidden="false" customHeight="false" outlineLevel="0" collapsed="false">
      <c r="C163" s="40" t="s">
        <v>152</v>
      </c>
      <c r="D163" s="29"/>
      <c r="E163" s="30"/>
      <c r="F163" s="31"/>
      <c r="G163" s="32"/>
      <c r="H163" s="38"/>
      <c r="I163" s="68" t="s">
        <v>13</v>
      </c>
      <c r="J163" s="69"/>
      <c r="K163" s="70"/>
      <c r="L163" s="70"/>
      <c r="M163" s="36"/>
      <c r="N163" s="37"/>
    </row>
    <row r="164" customFormat="false" ht="12.75" hidden="false" customHeight="false" outlineLevel="0" collapsed="false">
      <c r="C164" s="40" t="s">
        <v>153</v>
      </c>
      <c r="D164" s="29"/>
      <c r="E164" s="30"/>
      <c r="F164" s="31"/>
      <c r="G164" s="32"/>
      <c r="H164" s="38"/>
      <c r="I164" s="68" t="s">
        <v>13</v>
      </c>
      <c r="J164" s="69"/>
      <c r="K164" s="70"/>
      <c r="L164" s="70"/>
      <c r="M164" s="36"/>
      <c r="N164" s="37"/>
    </row>
    <row r="165" customFormat="false" ht="12.75" hidden="false" customHeight="false" outlineLevel="0" collapsed="false">
      <c r="C165" s="40" t="s">
        <v>154</v>
      </c>
      <c r="D165" s="29"/>
      <c r="E165" s="30"/>
      <c r="F165" s="31"/>
      <c r="G165" s="32"/>
      <c r="H165" s="38"/>
      <c r="I165" s="68" t="s">
        <v>71</v>
      </c>
      <c r="J165" s="69"/>
      <c r="K165" s="70"/>
      <c r="L165" s="70"/>
      <c r="M165" s="36"/>
      <c r="N165" s="37"/>
    </row>
    <row r="166" customFormat="false" ht="12.75" hidden="false" customHeight="false" outlineLevel="0" collapsed="false">
      <c r="C166" s="40" t="s">
        <v>155</v>
      </c>
      <c r="D166" s="29"/>
      <c r="E166" s="30"/>
      <c r="F166" s="31"/>
      <c r="G166" s="32"/>
      <c r="H166" s="38"/>
      <c r="I166" s="68" t="s">
        <v>11</v>
      </c>
      <c r="J166" s="69"/>
      <c r="K166" s="70"/>
      <c r="L166" s="70"/>
      <c r="M166" s="36"/>
      <c r="N166" s="37"/>
    </row>
    <row r="167" customFormat="false" ht="12.75" hidden="false" customHeight="false" outlineLevel="0" collapsed="false">
      <c r="C167" s="40" t="s">
        <v>156</v>
      </c>
      <c r="D167" s="29"/>
      <c r="E167" s="30"/>
      <c r="F167" s="31"/>
      <c r="G167" s="32"/>
      <c r="H167" s="38"/>
      <c r="I167" s="68" t="s">
        <v>13</v>
      </c>
      <c r="J167" s="69"/>
      <c r="K167" s="70"/>
      <c r="L167" s="70"/>
      <c r="M167" s="36"/>
      <c r="N167" s="37"/>
    </row>
    <row r="168" customFormat="false" ht="12.75" hidden="false" customHeight="false" outlineLevel="0" collapsed="false">
      <c r="C168" s="40" t="s">
        <v>157</v>
      </c>
      <c r="D168" s="29"/>
      <c r="E168" s="30"/>
      <c r="F168" s="31"/>
      <c r="G168" s="32"/>
      <c r="H168" s="38"/>
      <c r="I168" s="68" t="s">
        <v>13</v>
      </c>
      <c r="J168" s="69"/>
      <c r="K168" s="70"/>
      <c r="L168" s="70"/>
      <c r="M168" s="36"/>
      <c r="N168" s="37"/>
    </row>
    <row r="169" customFormat="false" ht="12.75" hidden="false" customHeight="false" outlineLevel="0" collapsed="false">
      <c r="C169" s="40" t="s">
        <v>158</v>
      </c>
      <c r="D169" s="29"/>
      <c r="E169" s="30"/>
      <c r="F169" s="31"/>
      <c r="G169" s="32"/>
      <c r="H169" s="38"/>
      <c r="I169" s="68" t="s">
        <v>13</v>
      </c>
      <c r="J169" s="69"/>
      <c r="K169" s="70"/>
      <c r="L169" s="70"/>
      <c r="M169" s="36"/>
      <c r="N169" s="37"/>
    </row>
    <row r="170" customFormat="false" ht="12.75" hidden="false" customHeight="false" outlineLevel="0" collapsed="false">
      <c r="C170" s="40" t="s">
        <v>159</v>
      </c>
      <c r="D170" s="29"/>
      <c r="E170" s="30"/>
      <c r="F170" s="31"/>
      <c r="G170" s="32"/>
      <c r="H170" s="38"/>
      <c r="I170" s="68" t="s">
        <v>13</v>
      </c>
      <c r="J170" s="69"/>
      <c r="K170" s="70"/>
      <c r="L170" s="70"/>
      <c r="M170" s="36"/>
      <c r="N170" s="37"/>
    </row>
    <row r="171" customFormat="false" ht="12.75" hidden="false" customHeight="false" outlineLevel="0" collapsed="false">
      <c r="C171" s="40" t="s">
        <v>160</v>
      </c>
      <c r="D171" s="29"/>
      <c r="E171" s="30"/>
      <c r="F171" s="31"/>
      <c r="G171" s="32"/>
      <c r="H171" s="38"/>
      <c r="I171" s="68" t="s">
        <v>11</v>
      </c>
      <c r="J171" s="69"/>
      <c r="K171" s="70"/>
      <c r="L171" s="70"/>
      <c r="M171" s="36"/>
      <c r="N171" s="37"/>
    </row>
    <row r="172" customFormat="false" ht="12.75" hidden="false" customHeight="false" outlineLevel="0" collapsed="false">
      <c r="C172" s="40" t="s">
        <v>141</v>
      </c>
      <c r="D172" s="29"/>
      <c r="E172" s="30"/>
      <c r="F172" s="31"/>
      <c r="G172" s="32"/>
      <c r="H172" s="38"/>
      <c r="I172" s="68" t="s">
        <v>13</v>
      </c>
      <c r="J172" s="69"/>
      <c r="K172" s="70"/>
      <c r="L172" s="70"/>
      <c r="M172" s="36"/>
      <c r="N172" s="37"/>
    </row>
    <row r="173" customFormat="false" ht="12.75" hidden="false" customHeight="false" outlineLevel="0" collapsed="false">
      <c r="C173" s="40" t="s">
        <v>161</v>
      </c>
      <c r="D173" s="29"/>
      <c r="E173" s="30"/>
      <c r="F173" s="31"/>
      <c r="G173" s="32"/>
      <c r="H173" s="38"/>
      <c r="I173" s="68" t="s">
        <v>11</v>
      </c>
      <c r="J173" s="69"/>
      <c r="K173" s="70"/>
      <c r="L173" s="70"/>
      <c r="M173" s="36"/>
      <c r="N173" s="37"/>
    </row>
    <row r="174" customFormat="false" ht="12.75" hidden="false" customHeight="false" outlineLevel="0" collapsed="false">
      <c r="C174" s="40" t="s">
        <v>162</v>
      </c>
      <c r="D174" s="29"/>
      <c r="E174" s="30"/>
      <c r="F174" s="31"/>
      <c r="G174" s="32"/>
      <c r="H174" s="38"/>
      <c r="I174" s="68" t="s">
        <v>13</v>
      </c>
      <c r="J174" s="69"/>
      <c r="K174" s="70"/>
      <c r="L174" s="70"/>
      <c r="M174" s="36"/>
      <c r="N174" s="37"/>
    </row>
    <row r="175" customFormat="false" ht="12.75" hidden="false" customHeight="false" outlineLevel="0" collapsed="false">
      <c r="C175" s="40" t="s">
        <v>163</v>
      </c>
      <c r="D175" s="29"/>
      <c r="E175" s="30"/>
      <c r="F175" s="31"/>
      <c r="G175" s="32"/>
      <c r="H175" s="38"/>
      <c r="I175" s="68" t="s">
        <v>13</v>
      </c>
      <c r="J175" s="69"/>
      <c r="K175" s="70"/>
      <c r="L175" s="70"/>
      <c r="M175" s="36"/>
      <c r="N175" s="37"/>
    </row>
    <row r="176" customFormat="false" ht="12.75" hidden="false" customHeight="false" outlineLevel="0" collapsed="false">
      <c r="C176" s="40" t="s">
        <v>164</v>
      </c>
      <c r="D176" s="29"/>
      <c r="E176" s="30"/>
      <c r="F176" s="31"/>
      <c r="G176" s="32"/>
      <c r="H176" s="38"/>
      <c r="I176" s="68" t="s">
        <v>13</v>
      </c>
      <c r="J176" s="69"/>
      <c r="K176" s="70"/>
      <c r="L176" s="70"/>
      <c r="M176" s="36"/>
      <c r="N176" s="37"/>
    </row>
    <row r="177" customFormat="false" ht="12.75" hidden="false" customHeight="false" outlineLevel="0" collapsed="false">
      <c r="C177" s="40" t="s">
        <v>165</v>
      </c>
      <c r="D177" s="29"/>
      <c r="E177" s="30"/>
      <c r="F177" s="31"/>
      <c r="G177" s="32"/>
      <c r="H177" s="38"/>
      <c r="I177" s="68" t="s">
        <v>13</v>
      </c>
      <c r="J177" s="69"/>
      <c r="K177" s="70"/>
      <c r="L177" s="70"/>
      <c r="M177" s="36"/>
      <c r="N177" s="37"/>
    </row>
    <row r="178" customFormat="false" ht="12.75" hidden="false" customHeight="false" outlineLevel="0" collapsed="false">
      <c r="C178" s="40" t="s">
        <v>166</v>
      </c>
      <c r="D178" s="29"/>
      <c r="E178" s="30"/>
      <c r="F178" s="31"/>
      <c r="G178" s="32"/>
      <c r="H178" s="38"/>
      <c r="I178" s="68" t="s">
        <v>11</v>
      </c>
      <c r="J178" s="69"/>
      <c r="K178" s="70"/>
      <c r="L178" s="70"/>
      <c r="M178" s="36"/>
      <c r="N178" s="37"/>
    </row>
    <row r="179" customFormat="false" ht="12.75" hidden="false" customHeight="false" outlineLevel="0" collapsed="false">
      <c r="C179" s="40" t="s">
        <v>167</v>
      </c>
      <c r="D179" s="29"/>
      <c r="E179" s="30"/>
      <c r="F179" s="31"/>
      <c r="G179" s="32"/>
      <c r="H179" s="38"/>
      <c r="I179" s="68" t="s">
        <v>13</v>
      </c>
      <c r="J179" s="69"/>
      <c r="K179" s="70"/>
      <c r="L179" s="70"/>
      <c r="M179" s="36"/>
      <c r="N179" s="37"/>
    </row>
    <row r="180" customFormat="false" ht="12.75" hidden="false" customHeight="false" outlineLevel="0" collapsed="false">
      <c r="C180" s="40" t="s">
        <v>168</v>
      </c>
      <c r="D180" s="29"/>
      <c r="E180" s="30"/>
      <c r="F180" s="31"/>
      <c r="G180" s="32"/>
      <c r="H180" s="38"/>
      <c r="I180" s="68" t="s">
        <v>13</v>
      </c>
      <c r="J180" s="69"/>
      <c r="K180" s="70"/>
      <c r="L180" s="70"/>
      <c r="M180" s="36"/>
      <c r="N180" s="37"/>
    </row>
    <row r="181" customFormat="false" ht="12.75" hidden="false" customHeight="false" outlineLevel="0" collapsed="false">
      <c r="C181" s="40" t="s">
        <v>169</v>
      </c>
      <c r="D181" s="29"/>
      <c r="E181" s="30"/>
      <c r="F181" s="31"/>
      <c r="G181" s="32"/>
      <c r="H181" s="38"/>
      <c r="I181" s="68" t="s">
        <v>13</v>
      </c>
      <c r="J181" s="69"/>
      <c r="K181" s="70"/>
      <c r="L181" s="70"/>
      <c r="M181" s="36"/>
      <c r="N181" s="37"/>
    </row>
    <row r="182" customFormat="false" ht="12.75" hidden="false" customHeight="false" outlineLevel="0" collapsed="false">
      <c r="C182" s="40" t="s">
        <v>170</v>
      </c>
      <c r="D182" s="29"/>
      <c r="E182" s="30"/>
      <c r="F182" s="31"/>
      <c r="G182" s="32"/>
      <c r="H182" s="38"/>
      <c r="I182" s="68" t="s">
        <v>13</v>
      </c>
      <c r="J182" s="69"/>
      <c r="K182" s="70"/>
      <c r="L182" s="70"/>
      <c r="M182" s="36"/>
      <c r="N182" s="37"/>
    </row>
    <row r="183" customFormat="false" ht="12.75" hidden="false" customHeight="false" outlineLevel="0" collapsed="false">
      <c r="C183" s="40" t="s">
        <v>171</v>
      </c>
      <c r="D183" s="29"/>
      <c r="E183" s="30"/>
      <c r="F183" s="31"/>
      <c r="G183" s="32"/>
      <c r="H183" s="38"/>
      <c r="I183" s="68" t="s">
        <v>13</v>
      </c>
      <c r="J183" s="69"/>
      <c r="K183" s="70"/>
      <c r="L183" s="70"/>
      <c r="M183" s="36"/>
      <c r="N183" s="37"/>
    </row>
    <row r="184" customFormat="false" ht="12.75" hidden="false" customHeight="false" outlineLevel="0" collapsed="false">
      <c r="C184" s="40" t="s">
        <v>172</v>
      </c>
      <c r="D184" s="29"/>
      <c r="E184" s="30"/>
      <c r="F184" s="31"/>
      <c r="G184" s="32"/>
      <c r="H184" s="38"/>
      <c r="I184" s="68" t="s">
        <v>13</v>
      </c>
      <c r="J184" s="69"/>
      <c r="K184" s="70"/>
      <c r="L184" s="70"/>
      <c r="M184" s="36"/>
      <c r="N184" s="37"/>
    </row>
    <row r="185" customFormat="false" ht="12.75" hidden="false" customHeight="false" outlineLevel="0" collapsed="false">
      <c r="C185" s="40" t="s">
        <v>173</v>
      </c>
      <c r="D185" s="29"/>
      <c r="E185" s="30"/>
      <c r="F185" s="31"/>
      <c r="G185" s="32"/>
      <c r="H185" s="38"/>
      <c r="I185" s="68" t="s">
        <v>13</v>
      </c>
      <c r="J185" s="69"/>
      <c r="K185" s="70"/>
      <c r="L185" s="70"/>
      <c r="M185" s="36"/>
      <c r="N185" s="37"/>
    </row>
    <row r="186" customFormat="false" ht="12.75" hidden="false" customHeight="false" outlineLevel="0" collapsed="false">
      <c r="C186" s="40" t="s">
        <v>174</v>
      </c>
      <c r="D186" s="29"/>
      <c r="E186" s="30"/>
      <c r="F186" s="31"/>
      <c r="G186" s="32"/>
      <c r="H186" s="38"/>
      <c r="I186" s="68" t="s">
        <v>13</v>
      </c>
      <c r="J186" s="69"/>
      <c r="K186" s="70"/>
      <c r="L186" s="70"/>
      <c r="M186" s="36"/>
      <c r="N186" s="37"/>
    </row>
    <row r="187" customFormat="false" ht="12.75" hidden="false" customHeight="false" outlineLevel="0" collapsed="false">
      <c r="C187" s="40" t="s">
        <v>175</v>
      </c>
      <c r="D187" s="29"/>
      <c r="E187" s="30"/>
      <c r="F187" s="31"/>
      <c r="G187" s="32"/>
      <c r="H187" s="38"/>
      <c r="I187" s="68" t="s">
        <v>13</v>
      </c>
      <c r="J187" s="69"/>
      <c r="K187" s="70"/>
      <c r="L187" s="70"/>
      <c r="M187" s="36"/>
      <c r="N187" s="37"/>
    </row>
    <row r="188" customFormat="false" ht="12.75" hidden="false" customHeight="false" outlineLevel="0" collapsed="false">
      <c r="C188" s="40" t="s">
        <v>176</v>
      </c>
      <c r="D188" s="29"/>
      <c r="E188" s="30"/>
      <c r="F188" s="31"/>
      <c r="G188" s="32"/>
      <c r="H188" s="38"/>
      <c r="I188" s="68" t="s">
        <v>13</v>
      </c>
      <c r="J188" s="69"/>
      <c r="K188" s="70"/>
      <c r="L188" s="70"/>
      <c r="M188" s="36"/>
      <c r="N188" s="37"/>
    </row>
    <row r="189" customFormat="false" ht="12.75" hidden="false" customHeight="false" outlineLevel="0" collapsed="false">
      <c r="C189" s="40" t="s">
        <v>177</v>
      </c>
      <c r="D189" s="29"/>
      <c r="E189" s="30"/>
      <c r="F189" s="31"/>
      <c r="G189" s="32"/>
      <c r="H189" s="38"/>
      <c r="I189" s="68" t="s">
        <v>13</v>
      </c>
      <c r="J189" s="69"/>
      <c r="K189" s="70"/>
      <c r="L189" s="70"/>
      <c r="M189" s="36"/>
      <c r="N189" s="37"/>
    </row>
    <row r="190" s="2" customFormat="true" ht="12.75" hidden="false" customHeight="false" outlineLevel="0" collapsed="false">
      <c r="A190" s="1"/>
      <c r="B190" s="1"/>
      <c r="C190" s="40"/>
      <c r="D190" s="29"/>
      <c r="E190" s="30"/>
      <c r="F190" s="31"/>
      <c r="G190" s="32"/>
      <c r="H190" s="38"/>
      <c r="I190" s="68"/>
      <c r="J190" s="69"/>
      <c r="K190" s="70"/>
      <c r="L190" s="70"/>
      <c r="M190" s="36"/>
      <c r="N190" s="37"/>
    </row>
    <row r="191" s="2" customFormat="true" ht="12.75" hidden="false" customHeight="false" outlineLevel="0" collapsed="false">
      <c r="A191" s="1"/>
      <c r="B191" s="1"/>
      <c r="C191" s="40"/>
      <c r="D191" s="29"/>
      <c r="E191" s="30"/>
      <c r="F191" s="31"/>
      <c r="G191" s="32"/>
      <c r="H191" s="38"/>
      <c r="I191" s="68"/>
      <c r="J191" s="69"/>
      <c r="K191" s="70"/>
      <c r="L191" s="70"/>
      <c r="M191" s="36"/>
      <c r="N191" s="37"/>
    </row>
    <row r="192" customFormat="false" ht="12.75" hidden="false" customHeight="false" outlineLevel="0" collapsed="false">
      <c r="C192" s="40" t="s">
        <v>178</v>
      </c>
      <c r="D192" s="29"/>
      <c r="E192" s="71"/>
      <c r="F192" s="72"/>
      <c r="G192" s="73"/>
      <c r="H192" s="54"/>
      <c r="I192" s="74" t="s">
        <v>179</v>
      </c>
      <c r="J192" s="69"/>
      <c r="K192" s="70"/>
      <c r="L192" s="70"/>
      <c r="M192" s="36" t="n">
        <f aca="false">MIN(J192:L192)</f>
        <v>0</v>
      </c>
      <c r="N192" s="37" t="e">
        <f aca="false">SUM(M192/E192)</f>
        <v>#DIV/0!</v>
      </c>
    </row>
    <row r="193" customFormat="false" ht="12.75" hidden="false" customHeight="false" outlineLevel="0" collapsed="false">
      <c r="C193" s="55"/>
      <c r="D193" s="75"/>
      <c r="E193" s="57"/>
      <c r="F193" s="57"/>
      <c r="G193" s="76"/>
      <c r="H193" s="77"/>
      <c r="I193" s="78"/>
      <c r="J193" s="69"/>
      <c r="K193" s="70"/>
      <c r="L193" s="70"/>
      <c r="M193" s="36"/>
      <c r="N193" s="37"/>
    </row>
    <row r="194" customFormat="false" ht="16.5" hidden="false" customHeight="true" outlineLevel="0" collapsed="false">
      <c r="A194" s="2"/>
      <c r="B194" s="2"/>
      <c r="C194" s="79" t="s">
        <v>180</v>
      </c>
      <c r="D194" s="79"/>
      <c r="E194" s="62"/>
      <c r="F194" s="62"/>
      <c r="G194" s="62"/>
      <c r="H194" s="63"/>
      <c r="I194" s="64" t="s">
        <v>4</v>
      </c>
      <c r="J194" s="47"/>
      <c r="K194" s="48"/>
      <c r="L194" s="48"/>
      <c r="M194" s="36" t="n">
        <f aca="false">MIN(J194:L194)</f>
        <v>0</v>
      </c>
      <c r="N194" s="37" t="e">
        <f aca="false">SUM(M194/E194)</f>
        <v>#DIV/0!</v>
      </c>
    </row>
    <row r="195" customFormat="false" ht="16.5" hidden="false" customHeight="true" outlineLevel="0" collapsed="false">
      <c r="A195" s="2"/>
      <c r="B195" s="2"/>
      <c r="C195" s="79"/>
      <c r="D195" s="79"/>
      <c r="E195" s="49" t="s">
        <v>6</v>
      </c>
      <c r="F195" s="50"/>
      <c r="G195" s="51" t="s">
        <v>7</v>
      </c>
      <c r="H195" s="52" t="s">
        <v>8</v>
      </c>
      <c r="I195" s="64"/>
      <c r="J195" s="47"/>
      <c r="K195" s="48"/>
      <c r="L195" s="48"/>
      <c r="M195" s="36" t="n">
        <f aca="false">MIN(J195:L195)</f>
        <v>0</v>
      </c>
      <c r="N195" s="37" t="e">
        <f aca="false">SUM(M195/E195)</f>
        <v>#VALUE!</v>
      </c>
    </row>
    <row r="196" customFormat="false" ht="12.75" hidden="false" customHeight="false" outlineLevel="0" collapsed="false">
      <c r="C196" s="28" t="s">
        <v>181</v>
      </c>
      <c r="D196" s="29"/>
      <c r="E196" s="30"/>
      <c r="F196" s="31"/>
      <c r="G196" s="32"/>
      <c r="H196" s="38"/>
      <c r="I196" s="80" t="s">
        <v>13</v>
      </c>
      <c r="J196" s="69"/>
      <c r="K196" s="70"/>
      <c r="L196" s="70"/>
      <c r="M196" s="36" t="n">
        <f aca="false">MIN(J196:L196)</f>
        <v>0</v>
      </c>
      <c r="N196" s="37" t="e">
        <f aca="false">SUM(M196/E196)</f>
        <v>#DIV/0!</v>
      </c>
    </row>
    <row r="197" customFormat="false" ht="12.75" hidden="false" customHeight="false" outlineLevel="0" collapsed="false">
      <c r="C197" s="28" t="s">
        <v>182</v>
      </c>
      <c r="D197" s="29"/>
      <c r="E197" s="30"/>
      <c r="F197" s="31"/>
      <c r="G197" s="32"/>
      <c r="H197" s="38"/>
      <c r="I197" s="80" t="s">
        <v>13</v>
      </c>
      <c r="J197" s="69"/>
      <c r="K197" s="70"/>
      <c r="L197" s="70"/>
      <c r="M197" s="36" t="n">
        <f aca="false">MIN(J197:L197)</f>
        <v>0</v>
      </c>
      <c r="N197" s="37" t="e">
        <f aca="false">SUM(M197/E197)</f>
        <v>#DIV/0!</v>
      </c>
    </row>
    <row r="198" customFormat="false" ht="12.75" hidden="false" customHeight="false" outlineLevel="0" collapsed="false">
      <c r="C198" s="28" t="s">
        <v>183</v>
      </c>
      <c r="D198" s="29"/>
      <c r="E198" s="30"/>
      <c r="F198" s="31"/>
      <c r="G198" s="32"/>
      <c r="H198" s="38"/>
      <c r="I198" s="80" t="s">
        <v>13</v>
      </c>
      <c r="J198" s="69"/>
      <c r="K198" s="70"/>
      <c r="L198" s="70"/>
      <c r="M198" s="36" t="n">
        <f aca="false">MIN(J198:L198)</f>
        <v>0</v>
      </c>
      <c r="N198" s="37" t="e">
        <f aca="false">SUM(M198/E198)</f>
        <v>#DIV/0!</v>
      </c>
    </row>
    <row r="199" customFormat="false" ht="12.75" hidden="false" customHeight="false" outlineLevel="0" collapsed="false">
      <c r="C199" s="28" t="s">
        <v>184</v>
      </c>
      <c r="D199" s="29"/>
      <c r="E199" s="30"/>
      <c r="F199" s="31"/>
      <c r="G199" s="32"/>
      <c r="H199" s="38"/>
      <c r="I199" s="80" t="s">
        <v>13</v>
      </c>
      <c r="J199" s="69"/>
      <c r="K199" s="70"/>
      <c r="L199" s="70"/>
      <c r="M199" s="36" t="n">
        <f aca="false">MIN(J199:L199)</f>
        <v>0</v>
      </c>
      <c r="N199" s="37" t="e">
        <f aca="false">SUM(M199/E199)</f>
        <v>#DIV/0!</v>
      </c>
    </row>
    <row r="200" customFormat="false" ht="12.75" hidden="false" customHeight="false" outlineLevel="0" collapsed="false">
      <c r="C200" s="28" t="s">
        <v>185</v>
      </c>
      <c r="D200" s="29"/>
      <c r="E200" s="30"/>
      <c r="F200" s="31"/>
      <c r="G200" s="32"/>
      <c r="H200" s="38"/>
      <c r="I200" s="80" t="s">
        <v>13</v>
      </c>
      <c r="J200" s="69"/>
      <c r="K200" s="70"/>
      <c r="L200" s="70"/>
      <c r="M200" s="36" t="n">
        <f aca="false">MIN(J200:L200)</f>
        <v>0</v>
      </c>
      <c r="N200" s="37" t="e">
        <f aca="false">SUM(M200/E200)</f>
        <v>#DIV/0!</v>
      </c>
    </row>
    <row r="201" customFormat="false" ht="12.75" hidden="false" customHeight="false" outlineLevel="0" collapsed="false">
      <c r="C201" s="28" t="s">
        <v>186</v>
      </c>
      <c r="D201" s="29"/>
      <c r="E201" s="30"/>
      <c r="F201" s="31"/>
      <c r="G201" s="32"/>
      <c r="H201" s="38"/>
      <c r="I201" s="80"/>
      <c r="J201" s="69"/>
      <c r="K201" s="70"/>
      <c r="L201" s="70"/>
      <c r="M201" s="36" t="n">
        <f aca="false">MIN(J201:L201)</f>
        <v>0</v>
      </c>
      <c r="N201" s="37" t="e">
        <f aca="false">SUM(M201/E201)</f>
        <v>#DIV/0!</v>
      </c>
    </row>
    <row r="202" customFormat="false" ht="12.75" hidden="false" customHeight="false" outlineLevel="0" collapsed="false">
      <c r="C202" s="28" t="s">
        <v>187</v>
      </c>
      <c r="D202" s="29"/>
      <c r="E202" s="30"/>
      <c r="F202" s="31"/>
      <c r="G202" s="32"/>
      <c r="H202" s="38"/>
      <c r="I202" s="80"/>
      <c r="J202" s="69"/>
      <c r="K202" s="70"/>
      <c r="L202" s="70"/>
      <c r="M202" s="36" t="n">
        <f aca="false">MIN(J202:L202)</f>
        <v>0</v>
      </c>
      <c r="N202" s="37" t="e">
        <f aca="false">SUM(M202/E202)</f>
        <v>#DIV/0!</v>
      </c>
    </row>
    <row r="203" customFormat="false" ht="12.75" hidden="false" customHeight="false" outlineLevel="0" collapsed="false">
      <c r="C203" s="28" t="s">
        <v>188</v>
      </c>
      <c r="D203" s="29"/>
      <c r="E203" s="30"/>
      <c r="F203" s="31"/>
      <c r="G203" s="32"/>
      <c r="H203" s="38"/>
      <c r="I203" s="80" t="s">
        <v>13</v>
      </c>
      <c r="J203" s="69"/>
      <c r="K203" s="70"/>
      <c r="L203" s="70"/>
      <c r="M203" s="36" t="n">
        <f aca="false">MIN(J203:L203)</f>
        <v>0</v>
      </c>
      <c r="N203" s="37" t="e">
        <f aca="false">SUM(M203/E203)</f>
        <v>#DIV/0!</v>
      </c>
    </row>
    <row r="204" customFormat="false" ht="12.75" hidden="false" customHeight="false" outlineLevel="0" collapsed="false">
      <c r="C204" s="28" t="s">
        <v>189</v>
      </c>
      <c r="D204" s="29"/>
      <c r="E204" s="30"/>
      <c r="F204" s="31"/>
      <c r="G204" s="32"/>
      <c r="H204" s="38"/>
      <c r="I204" s="80" t="s">
        <v>13</v>
      </c>
      <c r="J204" s="69"/>
      <c r="K204" s="70"/>
      <c r="L204" s="70"/>
      <c r="M204" s="36" t="n">
        <f aca="false">MIN(J204:L204)</f>
        <v>0</v>
      </c>
      <c r="N204" s="37" t="e">
        <f aca="false">SUM(M204/E204)</f>
        <v>#DIV/0!</v>
      </c>
    </row>
    <row r="205" customFormat="false" ht="12.75" hidden="false" customHeight="false" outlineLevel="0" collapsed="false">
      <c r="C205" s="28" t="s">
        <v>190</v>
      </c>
      <c r="D205" s="29"/>
      <c r="E205" s="30"/>
      <c r="F205" s="31"/>
      <c r="G205" s="32"/>
      <c r="H205" s="38"/>
      <c r="I205" s="80" t="s">
        <v>13</v>
      </c>
      <c r="J205" s="69"/>
      <c r="K205" s="70"/>
      <c r="L205" s="70"/>
      <c r="M205" s="36" t="n">
        <f aca="false">MIN(J205:L205)</f>
        <v>0</v>
      </c>
      <c r="N205" s="37" t="e">
        <f aca="false">SUM(M205/E205)</f>
        <v>#DIV/0!</v>
      </c>
    </row>
    <row r="206" customFormat="false" ht="12.75" hidden="false" customHeight="false" outlineLevel="0" collapsed="false">
      <c r="C206" s="28" t="s">
        <v>191</v>
      </c>
      <c r="D206" s="29"/>
      <c r="E206" s="30"/>
      <c r="F206" s="31"/>
      <c r="G206" s="32"/>
      <c r="H206" s="38"/>
      <c r="I206" s="80" t="s">
        <v>13</v>
      </c>
      <c r="J206" s="69"/>
      <c r="K206" s="70"/>
      <c r="L206" s="70"/>
      <c r="M206" s="36" t="n">
        <f aca="false">MIN(J206:L206)</f>
        <v>0</v>
      </c>
      <c r="N206" s="37" t="e">
        <f aca="false">SUM(M206/E206)</f>
        <v>#DIV/0!</v>
      </c>
    </row>
    <row r="207" customFormat="false" ht="12.75" hidden="false" customHeight="false" outlineLevel="0" collapsed="false">
      <c r="C207" s="28" t="s">
        <v>192</v>
      </c>
      <c r="D207" s="29"/>
      <c r="E207" s="30"/>
      <c r="F207" s="31"/>
      <c r="G207" s="32"/>
      <c r="H207" s="38"/>
      <c r="I207" s="80"/>
      <c r="J207" s="69"/>
      <c r="K207" s="70"/>
      <c r="L207" s="70"/>
      <c r="M207" s="36" t="n">
        <f aca="false">MIN(J207:L207)</f>
        <v>0</v>
      </c>
      <c r="N207" s="37" t="e">
        <f aca="false">SUM(M207/E207)</f>
        <v>#DIV/0!</v>
      </c>
    </row>
    <row r="208" customFormat="false" ht="12.75" hidden="false" customHeight="false" outlineLevel="0" collapsed="false">
      <c r="C208" s="40" t="s">
        <v>193</v>
      </c>
      <c r="D208" s="29"/>
      <c r="E208" s="30"/>
      <c r="F208" s="31"/>
      <c r="G208" s="32"/>
      <c r="H208" s="38"/>
      <c r="I208" s="80" t="s">
        <v>13</v>
      </c>
      <c r="J208" s="69"/>
      <c r="K208" s="70"/>
      <c r="L208" s="70"/>
      <c r="M208" s="36" t="n">
        <f aca="false">MIN(J208:L208)</f>
        <v>0</v>
      </c>
      <c r="N208" s="37" t="e">
        <f aca="false">SUM(M208/E208)</f>
        <v>#DIV/0!</v>
      </c>
    </row>
    <row r="209" customFormat="false" ht="12.75" hidden="false" customHeight="false" outlineLevel="0" collapsed="false">
      <c r="C209" s="40" t="s">
        <v>194</v>
      </c>
      <c r="D209" s="29"/>
      <c r="E209" s="30"/>
      <c r="F209" s="31"/>
      <c r="G209" s="32"/>
      <c r="H209" s="38"/>
      <c r="I209" s="80" t="s">
        <v>13</v>
      </c>
      <c r="J209" s="69"/>
      <c r="K209" s="70"/>
      <c r="L209" s="70"/>
      <c r="M209" s="36" t="n">
        <f aca="false">MIN(J209:L209)</f>
        <v>0</v>
      </c>
      <c r="N209" s="37" t="e">
        <f aca="false">SUM(M209/E209)</f>
        <v>#DIV/0!</v>
      </c>
    </row>
    <row r="210" customFormat="false" ht="12.75" hidden="false" customHeight="false" outlineLevel="0" collapsed="false">
      <c r="C210" s="40" t="s">
        <v>195</v>
      </c>
      <c r="D210" s="31"/>
      <c r="E210" s="30"/>
      <c r="F210" s="31"/>
      <c r="G210" s="32"/>
      <c r="H210" s="38"/>
      <c r="I210" s="81" t="s">
        <v>13</v>
      </c>
      <c r="J210" s="69"/>
      <c r="K210" s="70"/>
      <c r="L210" s="70"/>
      <c r="M210" s="36" t="n">
        <f aca="false">MIN(J210:L210)</f>
        <v>0</v>
      </c>
      <c r="N210" s="37" t="e">
        <f aca="false">SUM(M210/E210)</f>
        <v>#DIV/0!</v>
      </c>
    </row>
    <row r="211" customFormat="false" ht="12.75" hidden="false" customHeight="false" outlineLevel="0" collapsed="false">
      <c r="C211" s="82" t="s">
        <v>196</v>
      </c>
      <c r="D211" s="83"/>
      <c r="E211" s="56"/>
      <c r="F211" s="72"/>
      <c r="G211" s="73"/>
      <c r="H211" s="54"/>
      <c r="I211" s="84" t="s">
        <v>13</v>
      </c>
      <c r="J211" s="69"/>
      <c r="K211" s="70"/>
      <c r="L211" s="70"/>
      <c r="M211" s="36" t="n">
        <f aca="false">MIN(J211:L211)</f>
        <v>0</v>
      </c>
      <c r="N211" s="37" t="e">
        <f aca="false">SUM(M211/E211)</f>
        <v>#DIV/0!</v>
      </c>
    </row>
    <row r="212" customFormat="false" ht="12.75" hidden="false" customHeight="false" outlineLevel="0" collapsed="false">
      <c r="C212" s="85"/>
      <c r="D212" s="85"/>
      <c r="E212" s="47"/>
      <c r="F212" s="86"/>
      <c r="G212" s="87"/>
      <c r="H212" s="42"/>
      <c r="I212" s="88"/>
    </row>
    <row r="213" customFormat="false" ht="13.5" hidden="false" customHeight="true" outlineLevel="0" collapsed="false">
      <c r="C213" s="85" t="s">
        <v>197</v>
      </c>
      <c r="D213" s="85"/>
      <c r="E213" s="35"/>
      <c r="F213" s="36"/>
      <c r="G213" s="87"/>
      <c r="H213" s="42"/>
      <c r="I213" s="88" t="s">
        <v>13</v>
      </c>
    </row>
    <row r="214" customFormat="false" ht="13.5" hidden="false" customHeight="true" outlineLevel="0" collapsed="false">
      <c r="A214" s="2"/>
      <c r="C214" s="85" t="s">
        <v>198</v>
      </c>
      <c r="D214" s="85"/>
      <c r="E214" s="89"/>
      <c r="F214" s="90"/>
      <c r="G214" s="91"/>
      <c r="H214" s="92"/>
      <c r="I214" s="88" t="s">
        <v>13</v>
      </c>
    </row>
    <row r="215" customFormat="false" ht="12.75" hidden="false" customHeight="false" outlineLevel="0" collapsed="false">
      <c r="C215" s="85"/>
      <c r="D215" s="85"/>
      <c r="E215" s="93"/>
      <c r="F215" s="94"/>
      <c r="G215" s="95"/>
      <c r="H215" s="96"/>
      <c r="I215" s="88"/>
    </row>
    <row r="216" customFormat="false" ht="13.5" hidden="false" customHeight="true" outlineLevel="0" collapsed="false">
      <c r="C216" s="85" t="s">
        <v>199</v>
      </c>
      <c r="D216" s="85"/>
      <c r="E216" s="93"/>
      <c r="F216" s="94"/>
      <c r="G216" s="95"/>
      <c r="H216" s="96"/>
      <c r="I216" s="88" t="s">
        <v>13</v>
      </c>
    </row>
    <row r="217" customFormat="false" ht="13.5" hidden="false" customHeight="true" outlineLevel="0" collapsed="false">
      <c r="C217" s="85" t="s">
        <v>200</v>
      </c>
      <c r="D217" s="85"/>
      <c r="E217" s="93"/>
      <c r="F217" s="94"/>
      <c r="G217" s="95"/>
      <c r="H217" s="96"/>
      <c r="I217" s="88" t="s">
        <v>201</v>
      </c>
    </row>
    <row r="218" customFormat="false" ht="13.5" hidden="false" customHeight="true" outlineLevel="0" collapsed="false">
      <c r="C218" s="85" t="s">
        <v>202</v>
      </c>
      <c r="D218" s="85"/>
      <c r="E218" s="93"/>
      <c r="F218" s="94"/>
      <c r="G218" s="95"/>
      <c r="H218" s="96"/>
      <c r="I218" s="88" t="s">
        <v>11</v>
      </c>
    </row>
    <row r="219" customFormat="false" ht="13.5" hidden="false" customHeight="true" outlineLevel="0" collapsed="false">
      <c r="C219" s="85" t="s">
        <v>203</v>
      </c>
      <c r="D219" s="85"/>
      <c r="E219" s="93"/>
      <c r="F219" s="94"/>
      <c r="G219" s="95"/>
      <c r="H219" s="96"/>
      <c r="I219" s="88" t="s">
        <v>13</v>
      </c>
    </row>
    <row r="220" customFormat="false" ht="13.5" hidden="false" customHeight="true" outlineLevel="0" collapsed="false">
      <c r="C220" s="85" t="s">
        <v>204</v>
      </c>
      <c r="D220" s="85"/>
      <c r="E220" s="93"/>
      <c r="F220" s="94"/>
      <c r="G220" s="95"/>
      <c r="H220" s="96"/>
      <c r="I220" s="88" t="s">
        <v>13</v>
      </c>
    </row>
    <row r="221" customFormat="false" ht="12.75" hidden="false" customHeight="true" outlineLevel="0" collapsed="false">
      <c r="C221" s="85" t="s">
        <v>205</v>
      </c>
      <c r="D221" s="85"/>
      <c r="E221" s="93"/>
      <c r="F221" s="94"/>
      <c r="G221" s="95"/>
      <c r="H221" s="96"/>
      <c r="I221" s="88"/>
    </row>
    <row r="222" customFormat="false" ht="13.5" hidden="false" customHeight="true" outlineLevel="0" collapsed="false">
      <c r="C222" s="85" t="s">
        <v>206</v>
      </c>
      <c r="D222" s="85"/>
      <c r="E222" s="93"/>
      <c r="F222" s="94"/>
      <c r="G222" s="95"/>
      <c r="H222" s="96"/>
      <c r="I222" s="88" t="s">
        <v>13</v>
      </c>
    </row>
    <row r="223" customFormat="false" ht="12.75" hidden="false" customHeight="false" outlineLevel="0" collapsed="false">
      <c r="C223" s="97" t="s">
        <v>207</v>
      </c>
      <c r="D223" s="97"/>
      <c r="E223" s="98"/>
      <c r="F223" s="90"/>
      <c r="G223" s="91"/>
      <c r="H223" s="92"/>
      <c r="I223" s="88"/>
    </row>
    <row r="224" customFormat="false" ht="12.75" hidden="false" customHeight="false" outlineLevel="0" collapsed="false">
      <c r="C224" s="97" t="s">
        <v>208</v>
      </c>
      <c r="D224" s="97"/>
      <c r="E224" s="98"/>
      <c r="F224" s="86"/>
      <c r="G224" s="87"/>
      <c r="H224" s="99"/>
      <c r="I224" s="88"/>
    </row>
    <row r="225" customFormat="false" ht="12.75" hidden="false" customHeight="false" outlineLevel="0" collapsed="false">
      <c r="C225" s="97" t="s">
        <v>209</v>
      </c>
      <c r="D225" s="97"/>
      <c r="E225" s="98"/>
      <c r="F225" s="86"/>
      <c r="G225" s="87"/>
      <c r="H225" s="99"/>
      <c r="I225" s="88" t="s">
        <v>11</v>
      </c>
    </row>
    <row r="226" customFormat="false" ht="12.75" hidden="false" customHeight="false" outlineLevel="0" collapsed="false">
      <c r="C226" s="97" t="s">
        <v>210</v>
      </c>
      <c r="D226" s="97"/>
      <c r="E226" s="98"/>
      <c r="F226" s="86"/>
      <c r="G226" s="87"/>
      <c r="H226" s="99"/>
      <c r="I226" s="88" t="s">
        <v>11</v>
      </c>
    </row>
    <row r="227" customFormat="false" ht="12.75" hidden="false" customHeight="false" outlineLevel="0" collapsed="false">
      <c r="C227" s="97" t="s">
        <v>211</v>
      </c>
      <c r="D227" s="97"/>
      <c r="E227" s="98"/>
      <c r="F227" s="86"/>
      <c r="G227" s="87"/>
      <c r="H227" s="99"/>
      <c r="I227" s="88" t="s">
        <v>201</v>
      </c>
    </row>
    <row r="228" customFormat="false" ht="12.75" hidden="false" customHeight="false" outlineLevel="0" collapsed="false">
      <c r="C228" s="97" t="s">
        <v>212</v>
      </c>
      <c r="D228" s="97"/>
      <c r="E228" s="98"/>
      <c r="F228" s="86"/>
      <c r="G228" s="87"/>
      <c r="H228" s="99"/>
      <c r="I228" s="88" t="s">
        <v>13</v>
      </c>
    </row>
    <row r="229" customFormat="false" ht="12.75" hidden="false" customHeight="false" outlineLevel="0" collapsed="false">
      <c r="C229" s="97" t="s">
        <v>213</v>
      </c>
      <c r="D229" s="97"/>
      <c r="E229" s="98"/>
      <c r="F229" s="86"/>
      <c r="G229" s="87"/>
      <c r="H229" s="99"/>
      <c r="I229" s="88" t="s">
        <v>13</v>
      </c>
    </row>
    <row r="230" customFormat="false" ht="12.75" hidden="false" customHeight="false" outlineLevel="0" collapsed="false">
      <c r="C230" s="97" t="s">
        <v>214</v>
      </c>
      <c r="D230" s="97"/>
      <c r="E230" s="98"/>
      <c r="F230" s="86"/>
      <c r="G230" s="87"/>
      <c r="H230" s="99"/>
      <c r="I230" s="88" t="s">
        <v>13</v>
      </c>
    </row>
    <row r="231" customFormat="false" ht="12.75" hidden="false" customHeight="false" outlineLevel="0" collapsed="false">
      <c r="C231" s="97" t="s">
        <v>215</v>
      </c>
      <c r="D231" s="97"/>
      <c r="E231" s="98"/>
      <c r="F231" s="86"/>
      <c r="G231" s="87"/>
      <c r="H231" s="99"/>
      <c r="I231" s="88" t="s">
        <v>71</v>
      </c>
    </row>
    <row r="232" customFormat="false" ht="12.75" hidden="false" customHeight="false" outlineLevel="0" collapsed="false">
      <c r="C232" s="97" t="s">
        <v>216</v>
      </c>
      <c r="D232" s="97"/>
      <c r="E232" s="98"/>
      <c r="F232" s="86"/>
      <c r="G232" s="87"/>
      <c r="H232" s="99"/>
      <c r="I232" s="88" t="s">
        <v>71</v>
      </c>
    </row>
    <row r="233" customFormat="false" ht="12.75" hidden="false" customHeight="false" outlineLevel="0" collapsed="false">
      <c r="C233" s="97" t="s">
        <v>217</v>
      </c>
      <c r="D233" s="97"/>
      <c r="E233" s="47"/>
      <c r="F233" s="48"/>
      <c r="G233" s="100"/>
      <c r="H233" s="101"/>
      <c r="I233" s="102" t="s">
        <v>13</v>
      </c>
    </row>
  </sheetData>
  <mergeCells count="46">
    <mergeCell ref="C5:D6"/>
    <mergeCell ref="E5:G5"/>
    <mergeCell ref="I5:I6"/>
    <mergeCell ref="C21:D22"/>
    <mergeCell ref="E21:G21"/>
    <mergeCell ref="I21:I22"/>
    <mergeCell ref="C60:D61"/>
    <mergeCell ref="E60:G60"/>
    <mergeCell ref="I60:I61"/>
    <mergeCell ref="C68:D69"/>
    <mergeCell ref="E68:G68"/>
    <mergeCell ref="I68:I69"/>
    <mergeCell ref="C98:D99"/>
    <mergeCell ref="E98:G98"/>
    <mergeCell ref="I98:I99"/>
    <mergeCell ref="C124:D125"/>
    <mergeCell ref="E124:G124"/>
    <mergeCell ref="I124:I125"/>
    <mergeCell ref="C141:D142"/>
    <mergeCell ref="E141:G141"/>
    <mergeCell ref="I141:I142"/>
    <mergeCell ref="C194:D195"/>
    <mergeCell ref="E194:G194"/>
    <mergeCell ref="I194:I195"/>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s>
  <printOptions headings="false" gridLines="false" gridLinesSet="true" horizontalCentered="true" verticalCentered="false"/>
  <pageMargins left="0.25" right="0.25" top="0.5" bottom="0.6" header="0.25" footer="0.25"/>
  <pageSetup paperSize="1" scale="90" fitToWidth="1" fitToHeight="1" pageOrder="downThenOver" orientation="portrait" blackAndWhite="false" draft="false" cellComments="none" horizontalDpi="300" verticalDpi="300" copies="1"/>
  <headerFooter differentFirst="false" differentOddEven="false">
    <oddHeader>&amp;R&amp;D</oddHeader>
    <oddFooter>&amp;R&amp;P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W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M212" activeCellId="0" sqref="M212"/>
    </sheetView>
  </sheetViews>
  <sheetFormatPr defaultColWidth="9.1640625" defaultRowHeight="12.75" customHeight="true" zeroHeight="false" outlineLevelRow="0" outlineLevelCol="0"/>
  <cols>
    <col collapsed="false" customWidth="true" hidden="false" outlineLevel="0" max="1" min="1" style="1" width="1.83"/>
    <col collapsed="false" customWidth="true" hidden="false" outlineLevel="0" max="2" min="2" style="1" width="5"/>
    <col collapsed="false" customWidth="true" hidden="false" outlineLevel="0" max="3" min="3" style="1" width="15.83"/>
    <col collapsed="false" customWidth="true" hidden="false" outlineLevel="0" max="4" min="4" style="1" width="15.16"/>
    <col collapsed="false" customWidth="true" hidden="false" outlineLevel="0" max="5" min="5" style="103" width="10.51"/>
    <col collapsed="false" customWidth="true" hidden="false" outlineLevel="0" max="6" min="6" style="104" width="10.51"/>
    <col collapsed="false" customWidth="true" hidden="false" outlineLevel="0" max="7" min="7" style="105" width="8.34"/>
    <col collapsed="false" customWidth="true" hidden="false" outlineLevel="0" max="8" min="8" style="106" width="10.51"/>
    <col collapsed="false" customWidth="true" hidden="false" outlineLevel="0" max="9" min="9" style="107" width="15.16"/>
    <col collapsed="false" customWidth="false" hidden="false" outlineLevel="0" max="22" min="10" style="1" width="9.16"/>
    <col collapsed="false" customWidth="false" hidden="false" outlineLevel="0" max="16384" min="23" style="108" width="9.16"/>
  </cols>
  <sheetData>
    <row r="1" s="1" customFormat="true" ht="22.05" hidden="false" customHeight="false" outlineLevel="0" collapsed="false">
      <c r="B1" s="5" t="str">
        <f aca="false">FOOD!C1</f>
        <v>The Nest</v>
      </c>
      <c r="E1" s="2"/>
      <c r="F1" s="4"/>
      <c r="G1" s="109"/>
      <c r="H1" s="6"/>
      <c r="I1" s="110"/>
      <c r="W1" s="108"/>
    </row>
    <row r="2" s="1" customFormat="true" ht="12.75" hidden="false" customHeight="false" outlineLevel="0" collapsed="false">
      <c r="B2" s="1" t="s">
        <v>218</v>
      </c>
      <c r="E2" s="2"/>
      <c r="F2" s="4"/>
      <c r="G2" s="109"/>
      <c r="H2" s="6" t="s">
        <v>2</v>
      </c>
      <c r="I2" s="110"/>
      <c r="W2" s="108"/>
    </row>
    <row r="3" s="1" customFormat="true" ht="12.75" hidden="false" customHeight="false" outlineLevel="0" collapsed="false">
      <c r="D3" s="111"/>
      <c r="F3" s="4"/>
      <c r="G3" s="109"/>
      <c r="H3" s="6"/>
      <c r="I3" s="110"/>
      <c r="W3" s="108"/>
    </row>
    <row r="4" s="112" customFormat="true" ht="12.75" hidden="false" customHeight="false" outlineLevel="0" collapsed="false">
      <c r="B4" s="9"/>
      <c r="G4" s="113"/>
      <c r="I4" s="114"/>
    </row>
    <row r="5" s="1" customFormat="true" ht="12.75" hidden="false" customHeight="true" outlineLevel="0" collapsed="false">
      <c r="B5" s="115" t="s">
        <v>3</v>
      </c>
      <c r="C5" s="115"/>
      <c r="D5" s="115"/>
      <c r="E5" s="13"/>
      <c r="F5" s="13"/>
      <c r="G5" s="13"/>
      <c r="H5" s="14"/>
      <c r="I5" s="15" t="s">
        <v>219</v>
      </c>
    </row>
    <row r="6" s="1" customFormat="true" ht="15" hidden="false" customHeight="true" outlineLevel="0" collapsed="false">
      <c r="B6" s="115"/>
      <c r="C6" s="115"/>
      <c r="D6" s="115"/>
      <c r="E6" s="16" t="s">
        <v>5</v>
      </c>
      <c r="F6" s="17" t="s">
        <v>6</v>
      </c>
      <c r="G6" s="18" t="s">
        <v>7</v>
      </c>
      <c r="H6" s="19" t="s">
        <v>8</v>
      </c>
      <c r="I6" s="15"/>
    </row>
    <row r="7" s="1" customFormat="true" ht="23.25" hidden="false" customHeight="true" outlineLevel="0" collapsed="false">
      <c r="B7" s="20" t="s">
        <v>220</v>
      </c>
      <c r="C7" s="20"/>
      <c r="D7" s="21"/>
      <c r="E7" s="22"/>
      <c r="F7" s="23"/>
      <c r="G7" s="24"/>
      <c r="H7" s="25"/>
      <c r="I7" s="26"/>
    </row>
    <row r="8" customFormat="false" ht="12.75" hidden="false" customHeight="false" outlineLevel="0" collapsed="false">
      <c r="B8" s="116" t="s">
        <v>221</v>
      </c>
      <c r="C8" s="117"/>
      <c r="D8" s="118"/>
      <c r="E8" s="119"/>
      <c r="F8" s="120"/>
      <c r="G8" s="121"/>
      <c r="H8" s="122"/>
      <c r="I8" s="123"/>
    </row>
    <row r="9" customFormat="false" ht="12.75" hidden="false" customHeight="false" outlineLevel="0" collapsed="false">
      <c r="B9" s="116" t="s">
        <v>222</v>
      </c>
      <c r="C9" s="117"/>
      <c r="D9" s="118"/>
      <c r="E9" s="119" t="s">
        <v>223</v>
      </c>
      <c r="F9" s="120"/>
      <c r="G9" s="121" t="n">
        <v>24</v>
      </c>
      <c r="H9" s="122"/>
      <c r="I9" s="123"/>
    </row>
    <row r="10" customFormat="false" ht="12.75" hidden="false" customHeight="false" outlineLevel="0" collapsed="false">
      <c r="B10" s="116" t="s">
        <v>224</v>
      </c>
      <c r="C10" s="117"/>
      <c r="D10" s="118"/>
      <c r="E10" s="119" t="s">
        <v>223</v>
      </c>
      <c r="F10" s="120"/>
      <c r="G10" s="121" t="n">
        <v>3</v>
      </c>
      <c r="H10" s="122"/>
      <c r="I10" s="123"/>
    </row>
    <row r="11" customFormat="false" ht="12.75" hidden="false" customHeight="false" outlineLevel="0" collapsed="false">
      <c r="B11" s="116" t="s">
        <v>225</v>
      </c>
      <c r="C11" s="117"/>
      <c r="D11" s="118"/>
      <c r="E11" s="119" t="s">
        <v>223</v>
      </c>
      <c r="F11" s="120"/>
      <c r="G11" s="121" t="n">
        <v>1</v>
      </c>
      <c r="H11" s="122"/>
      <c r="I11" s="123"/>
    </row>
    <row r="12" customFormat="false" ht="12.75" hidden="false" customHeight="false" outlineLevel="0" collapsed="false">
      <c r="B12" s="116" t="s">
        <v>226</v>
      </c>
      <c r="C12" s="117"/>
      <c r="D12" s="118"/>
      <c r="E12" s="119" t="s">
        <v>223</v>
      </c>
      <c r="F12" s="120"/>
      <c r="G12" s="121" t="n">
        <v>1</v>
      </c>
      <c r="H12" s="122"/>
      <c r="I12" s="123"/>
    </row>
    <row r="13" customFormat="false" ht="12.75" hidden="false" customHeight="false" outlineLevel="0" collapsed="false">
      <c r="B13" s="116" t="s">
        <v>227</v>
      </c>
      <c r="C13" s="117"/>
      <c r="D13" s="118"/>
      <c r="E13" s="119" t="s">
        <v>223</v>
      </c>
      <c r="F13" s="120"/>
      <c r="G13" s="121" t="n">
        <v>1</v>
      </c>
      <c r="H13" s="122"/>
      <c r="I13" s="123"/>
    </row>
    <row r="14" customFormat="false" ht="12.75" hidden="false" customHeight="false" outlineLevel="0" collapsed="false">
      <c r="B14" s="116" t="s">
        <v>228</v>
      </c>
      <c r="C14" s="117"/>
      <c r="D14" s="118"/>
      <c r="E14" s="119" t="s">
        <v>223</v>
      </c>
      <c r="F14" s="120"/>
      <c r="G14" s="121" t="n">
        <v>1</v>
      </c>
      <c r="H14" s="122"/>
      <c r="I14" s="123"/>
    </row>
    <row r="15" customFormat="false" ht="12.75" hidden="false" customHeight="false" outlineLevel="0" collapsed="false">
      <c r="B15" s="116" t="s">
        <v>229</v>
      </c>
      <c r="C15" s="117"/>
      <c r="D15" s="118"/>
      <c r="E15" s="119" t="s">
        <v>223</v>
      </c>
      <c r="F15" s="120"/>
      <c r="G15" s="121" t="n">
        <v>1</v>
      </c>
      <c r="H15" s="122"/>
      <c r="I15" s="123"/>
    </row>
    <row r="16" customFormat="false" ht="12.75" hidden="false" customHeight="false" outlineLevel="0" collapsed="false">
      <c r="B16" s="116" t="s">
        <v>230</v>
      </c>
      <c r="C16" s="117"/>
      <c r="D16" s="118"/>
      <c r="E16" s="119" t="s">
        <v>223</v>
      </c>
      <c r="F16" s="120"/>
      <c r="G16" s="121" t="n">
        <v>1</v>
      </c>
      <c r="H16" s="122"/>
      <c r="I16" s="123"/>
    </row>
    <row r="17" customFormat="false" ht="12.75" hidden="false" customHeight="false" outlineLevel="0" collapsed="false">
      <c r="B17" s="116" t="s">
        <v>231</v>
      </c>
      <c r="C17" s="117"/>
      <c r="D17" s="118"/>
      <c r="E17" s="119" t="s">
        <v>223</v>
      </c>
      <c r="F17" s="120"/>
      <c r="G17" s="121" t="n">
        <v>1</v>
      </c>
      <c r="H17" s="122"/>
      <c r="I17" s="123"/>
    </row>
    <row r="18" customFormat="false" ht="12.75" hidden="false" customHeight="false" outlineLevel="0" collapsed="false">
      <c r="B18" s="116" t="s">
        <v>232</v>
      </c>
      <c r="C18" s="117"/>
      <c r="D18" s="118"/>
      <c r="E18" s="119" t="s">
        <v>223</v>
      </c>
      <c r="F18" s="120"/>
      <c r="G18" s="121" t="n">
        <v>2</v>
      </c>
      <c r="H18" s="122"/>
      <c r="I18" s="123"/>
    </row>
    <row r="19" customFormat="false" ht="12.75" hidden="false" customHeight="false" outlineLevel="0" collapsed="false">
      <c r="B19" s="116" t="s">
        <v>233</v>
      </c>
      <c r="C19" s="117"/>
      <c r="D19" s="118"/>
      <c r="E19" s="119" t="s">
        <v>223</v>
      </c>
      <c r="F19" s="120"/>
      <c r="G19" s="121" t="n">
        <v>2</v>
      </c>
      <c r="H19" s="122"/>
      <c r="I19" s="123"/>
    </row>
    <row r="20" customFormat="false" ht="12.75" hidden="false" customHeight="false" outlineLevel="0" collapsed="false">
      <c r="B20" s="124"/>
      <c r="C20" s="117"/>
      <c r="D20" s="118"/>
      <c r="E20" s="119"/>
      <c r="F20" s="120"/>
      <c r="G20" s="121"/>
      <c r="H20" s="122"/>
      <c r="I20" s="123"/>
    </row>
    <row r="21" customFormat="false" ht="12.75" hidden="false" customHeight="false" outlineLevel="0" collapsed="false">
      <c r="B21" s="124"/>
      <c r="C21" s="117"/>
      <c r="D21" s="118"/>
      <c r="E21" s="119"/>
      <c r="F21" s="120"/>
      <c r="G21" s="121"/>
      <c r="H21" s="122"/>
      <c r="I21" s="123"/>
    </row>
    <row r="22" customFormat="false" ht="12.75" hidden="false" customHeight="false" outlineLevel="0" collapsed="false">
      <c r="B22" s="116" t="s">
        <v>234</v>
      </c>
      <c r="C22" s="117"/>
      <c r="D22" s="118"/>
      <c r="E22" s="119"/>
      <c r="F22" s="120"/>
      <c r="G22" s="121"/>
      <c r="H22" s="122"/>
      <c r="I22" s="123"/>
    </row>
    <row r="23" customFormat="false" ht="12.75" hidden="false" customHeight="false" outlineLevel="0" collapsed="false">
      <c r="B23" s="116" t="s">
        <v>235</v>
      </c>
      <c r="C23" s="117"/>
      <c r="D23" s="118"/>
      <c r="E23" s="119"/>
      <c r="F23" s="120"/>
      <c r="G23" s="121" t="n">
        <v>1</v>
      </c>
      <c r="H23" s="122"/>
      <c r="I23" s="123"/>
    </row>
    <row r="24" customFormat="false" ht="12.75" hidden="false" customHeight="false" outlineLevel="0" collapsed="false">
      <c r="B24" s="116" t="s">
        <v>236</v>
      </c>
      <c r="C24" s="117"/>
      <c r="D24" s="118"/>
      <c r="E24" s="119"/>
      <c r="F24" s="120"/>
      <c r="G24" s="121" t="n">
        <v>3</v>
      </c>
      <c r="H24" s="122"/>
      <c r="I24" s="123"/>
    </row>
    <row r="25" customFormat="false" ht="12.75" hidden="false" customHeight="false" outlineLevel="0" collapsed="false">
      <c r="B25" s="116" t="s">
        <v>237</v>
      </c>
      <c r="C25" s="117"/>
      <c r="D25" s="118"/>
      <c r="E25" s="119"/>
      <c r="F25" s="120"/>
      <c r="G25" s="121" t="n">
        <v>1</v>
      </c>
      <c r="H25" s="122"/>
      <c r="I25" s="123"/>
    </row>
    <row r="26" customFormat="false" ht="12.75" hidden="false" customHeight="false" outlineLevel="0" collapsed="false">
      <c r="B26" s="124" t="s">
        <v>238</v>
      </c>
      <c r="C26" s="117"/>
      <c r="D26" s="118"/>
      <c r="E26" s="119"/>
      <c r="F26" s="120"/>
      <c r="G26" s="121" t="n">
        <v>2</v>
      </c>
      <c r="H26" s="122"/>
      <c r="I26" s="123"/>
    </row>
    <row r="27" customFormat="false" ht="12.75" hidden="false" customHeight="false" outlineLevel="0" collapsed="false">
      <c r="B27" s="124"/>
      <c r="C27" s="117"/>
      <c r="D27" s="118"/>
      <c r="E27" s="119"/>
      <c r="F27" s="120"/>
      <c r="G27" s="121"/>
      <c r="H27" s="122"/>
      <c r="I27" s="123"/>
    </row>
    <row r="28" customFormat="false" ht="12.75" hidden="false" customHeight="false" outlineLevel="0" collapsed="false">
      <c r="B28" s="116" t="s">
        <v>239</v>
      </c>
      <c r="C28" s="117"/>
      <c r="D28" s="118"/>
      <c r="E28" s="119"/>
      <c r="F28" s="120"/>
      <c r="G28" s="121"/>
      <c r="H28" s="122"/>
      <c r="I28" s="123"/>
    </row>
    <row r="29" customFormat="false" ht="12.75" hidden="false" customHeight="false" outlineLevel="0" collapsed="false">
      <c r="B29" s="116" t="s">
        <v>240</v>
      </c>
      <c r="C29" s="117"/>
      <c r="D29" s="118"/>
      <c r="E29" s="119"/>
      <c r="F29" s="120"/>
      <c r="G29" s="121" t="n">
        <v>2</v>
      </c>
      <c r="H29" s="122"/>
      <c r="I29" s="123"/>
    </row>
    <row r="30" customFormat="false" ht="12.75" hidden="false" customHeight="false" outlineLevel="0" collapsed="false">
      <c r="B30" s="116" t="s">
        <v>241</v>
      </c>
      <c r="C30" s="117"/>
      <c r="D30" s="118"/>
      <c r="E30" s="119"/>
      <c r="F30" s="120"/>
      <c r="G30" s="121" t="n">
        <v>2</v>
      </c>
      <c r="H30" s="122"/>
      <c r="I30" s="123"/>
    </row>
    <row r="31" customFormat="false" ht="12.75" hidden="false" customHeight="false" outlineLevel="0" collapsed="false">
      <c r="B31" s="97" t="s">
        <v>242</v>
      </c>
      <c r="C31" s="97"/>
      <c r="D31" s="97"/>
      <c r="E31" s="119"/>
      <c r="F31" s="120"/>
      <c r="G31" s="121" t="n">
        <v>1</v>
      </c>
      <c r="H31" s="122"/>
      <c r="I31" s="123"/>
    </row>
    <row r="32" customFormat="false" ht="12.75" hidden="false" customHeight="false" outlineLevel="0" collapsed="false">
      <c r="B32" s="125" t="s">
        <v>243</v>
      </c>
      <c r="C32" s="125"/>
      <c r="D32" s="125"/>
      <c r="E32" s="119"/>
      <c r="F32" s="120"/>
      <c r="G32" s="121" t="n">
        <v>1</v>
      </c>
      <c r="H32" s="122"/>
      <c r="I32" s="123"/>
    </row>
    <row r="33" customFormat="false" ht="12.75" hidden="false" customHeight="false" outlineLevel="0" collapsed="false">
      <c r="B33" s="125" t="s">
        <v>244</v>
      </c>
      <c r="C33" s="125"/>
      <c r="D33" s="125"/>
      <c r="E33" s="119"/>
      <c r="F33" s="120"/>
      <c r="G33" s="121" t="n">
        <v>1</v>
      </c>
      <c r="H33" s="122"/>
      <c r="I33" s="123"/>
    </row>
    <row r="34" customFormat="false" ht="12.75" hidden="false" customHeight="false" outlineLevel="0" collapsed="false">
      <c r="B34" s="125" t="s">
        <v>245</v>
      </c>
      <c r="C34" s="125"/>
      <c r="D34" s="125"/>
      <c r="E34" s="119"/>
      <c r="F34" s="120"/>
      <c r="G34" s="121" t="n">
        <v>1</v>
      </c>
      <c r="H34" s="122"/>
      <c r="I34" s="123"/>
    </row>
    <row r="35" customFormat="false" ht="12.75" hidden="false" customHeight="false" outlineLevel="0" collapsed="false">
      <c r="B35" s="126" t="s">
        <v>246</v>
      </c>
      <c r="C35" s="127"/>
      <c r="D35" s="128"/>
      <c r="E35" s="119"/>
      <c r="F35" s="120"/>
      <c r="G35" s="121" t="n">
        <v>1</v>
      </c>
      <c r="H35" s="122"/>
      <c r="I35" s="123"/>
    </row>
    <row r="36" customFormat="false" ht="12.75" hidden="false" customHeight="false" outlineLevel="0" collapsed="false">
      <c r="B36" s="126"/>
      <c r="C36" s="127"/>
      <c r="D36" s="128"/>
      <c r="E36" s="119"/>
      <c r="F36" s="120"/>
      <c r="G36" s="121"/>
      <c r="H36" s="122"/>
      <c r="I36" s="123"/>
    </row>
    <row r="37" customFormat="false" ht="12.75" hidden="false" customHeight="false" outlineLevel="0" collapsed="false">
      <c r="B37" s="126" t="s">
        <v>247</v>
      </c>
      <c r="C37" s="127"/>
      <c r="D37" s="128"/>
      <c r="E37" s="119"/>
      <c r="F37" s="120"/>
      <c r="G37" s="121"/>
      <c r="H37" s="122"/>
      <c r="I37" s="123"/>
    </row>
    <row r="38" customFormat="false" ht="12.75" hidden="false" customHeight="false" outlineLevel="0" collapsed="false">
      <c r="B38" s="126" t="s">
        <v>248</v>
      </c>
      <c r="C38" s="127"/>
      <c r="D38" s="128"/>
      <c r="E38" s="119"/>
      <c r="F38" s="120"/>
      <c r="G38" s="121" t="n">
        <v>2</v>
      </c>
      <c r="H38" s="122"/>
      <c r="I38" s="123"/>
    </row>
    <row r="39" customFormat="false" ht="12.75" hidden="false" customHeight="false" outlineLevel="0" collapsed="false">
      <c r="B39" s="126" t="s">
        <v>249</v>
      </c>
      <c r="C39" s="127"/>
      <c r="D39" s="128"/>
      <c r="E39" s="119"/>
      <c r="F39" s="120"/>
      <c r="G39" s="121" t="n">
        <v>1</v>
      </c>
      <c r="H39" s="122"/>
      <c r="I39" s="123"/>
    </row>
    <row r="40" customFormat="false" ht="12.75" hidden="false" customHeight="false" outlineLevel="0" collapsed="false">
      <c r="B40" s="126" t="s">
        <v>250</v>
      </c>
      <c r="C40" s="127"/>
      <c r="D40" s="128"/>
      <c r="E40" s="119"/>
      <c r="F40" s="120"/>
      <c r="G40" s="121" t="n">
        <v>1</v>
      </c>
      <c r="H40" s="122"/>
      <c r="I40" s="123"/>
    </row>
    <row r="41" customFormat="false" ht="12.75" hidden="false" customHeight="false" outlineLevel="0" collapsed="false">
      <c r="B41" s="126" t="s">
        <v>251</v>
      </c>
      <c r="C41" s="127"/>
      <c r="D41" s="128"/>
      <c r="E41" s="119"/>
      <c r="F41" s="120"/>
      <c r="G41" s="121" t="n">
        <v>2</v>
      </c>
      <c r="H41" s="122"/>
      <c r="I41" s="123"/>
    </row>
    <row r="42" customFormat="false" ht="12.75" hidden="false" customHeight="false" outlineLevel="0" collapsed="false">
      <c r="B42" s="126" t="s">
        <v>252</v>
      </c>
      <c r="C42" s="127"/>
      <c r="D42" s="128"/>
      <c r="E42" s="119"/>
      <c r="F42" s="120"/>
      <c r="G42" s="121" t="n">
        <v>6</v>
      </c>
      <c r="H42" s="122"/>
      <c r="I42" s="123"/>
    </row>
    <row r="43" customFormat="false" ht="12.75" hidden="false" customHeight="false" outlineLevel="0" collapsed="false">
      <c r="B43" s="126" t="s">
        <v>253</v>
      </c>
      <c r="C43" s="127"/>
      <c r="D43" s="128"/>
      <c r="E43" s="119"/>
      <c r="F43" s="120"/>
      <c r="G43" s="121" t="n">
        <v>1</v>
      </c>
      <c r="H43" s="122"/>
      <c r="I43" s="123"/>
    </row>
    <row r="44" customFormat="false" ht="12.75" hidden="false" customHeight="false" outlineLevel="0" collapsed="false">
      <c r="B44" s="126" t="s">
        <v>254</v>
      </c>
      <c r="C44" s="127"/>
      <c r="D44" s="128"/>
      <c r="E44" s="119"/>
      <c r="F44" s="120"/>
      <c r="G44" s="121" t="n">
        <v>1</v>
      </c>
      <c r="H44" s="122"/>
      <c r="I44" s="123"/>
    </row>
    <row r="45" customFormat="false" ht="12.75" hidden="false" customHeight="false" outlineLevel="0" collapsed="false">
      <c r="B45" s="126" t="s">
        <v>255</v>
      </c>
      <c r="C45" s="127"/>
      <c r="D45" s="128"/>
      <c r="E45" s="119"/>
      <c r="F45" s="120"/>
      <c r="G45" s="121" t="n">
        <v>2</v>
      </c>
      <c r="H45" s="122"/>
      <c r="I45" s="123"/>
    </row>
    <row r="46" customFormat="false" ht="12.75" hidden="false" customHeight="false" outlineLevel="0" collapsed="false">
      <c r="B46" s="126" t="s">
        <v>256</v>
      </c>
      <c r="C46" s="127"/>
      <c r="D46" s="128"/>
      <c r="E46" s="119"/>
      <c r="F46" s="120"/>
      <c r="G46" s="121" t="n">
        <v>1</v>
      </c>
      <c r="H46" s="122"/>
      <c r="I46" s="123"/>
    </row>
    <row r="47" customFormat="false" ht="12.75" hidden="false" customHeight="false" outlineLevel="0" collapsed="false">
      <c r="B47" s="126" t="s">
        <v>257</v>
      </c>
      <c r="C47" s="127"/>
      <c r="D47" s="128"/>
      <c r="E47" s="119"/>
      <c r="F47" s="120"/>
      <c r="G47" s="121" t="n">
        <v>1</v>
      </c>
      <c r="H47" s="122"/>
      <c r="I47" s="123"/>
    </row>
    <row r="48" customFormat="false" ht="12.75" hidden="false" customHeight="false" outlineLevel="0" collapsed="false">
      <c r="B48" s="126" t="s">
        <v>258</v>
      </c>
      <c r="C48" s="127"/>
      <c r="D48" s="128"/>
      <c r="E48" s="119"/>
      <c r="F48" s="120"/>
      <c r="G48" s="121" t="n">
        <v>2</v>
      </c>
      <c r="H48" s="122"/>
      <c r="I48" s="123"/>
    </row>
    <row r="49" customFormat="false" ht="12.75" hidden="false" customHeight="false" outlineLevel="0" collapsed="false">
      <c r="B49" s="126"/>
      <c r="C49" s="127"/>
      <c r="D49" s="128"/>
      <c r="E49" s="119"/>
      <c r="F49" s="120"/>
      <c r="G49" s="121" t="n">
        <v>2</v>
      </c>
      <c r="H49" s="122"/>
      <c r="I49" s="123"/>
    </row>
    <row r="50" customFormat="false" ht="12.75" hidden="false" customHeight="false" outlineLevel="0" collapsed="false">
      <c r="B50" s="126"/>
      <c r="C50" s="127"/>
      <c r="D50" s="128"/>
      <c r="E50" s="119"/>
      <c r="F50" s="120"/>
      <c r="G50" s="121"/>
      <c r="H50" s="122"/>
      <c r="I50" s="123"/>
    </row>
    <row r="51" customFormat="false" ht="12.75" hidden="false" customHeight="false" outlineLevel="0" collapsed="false">
      <c r="B51" s="126" t="s">
        <v>259</v>
      </c>
      <c r="C51" s="127"/>
      <c r="D51" s="128"/>
      <c r="E51" s="119"/>
      <c r="F51" s="120"/>
      <c r="G51" s="121"/>
      <c r="H51" s="122"/>
      <c r="I51" s="123"/>
    </row>
    <row r="52" customFormat="false" ht="12.75" hidden="false" customHeight="false" outlineLevel="0" collapsed="false">
      <c r="B52" s="126" t="s">
        <v>260</v>
      </c>
      <c r="C52" s="127"/>
      <c r="D52" s="128"/>
      <c r="E52" s="119"/>
      <c r="F52" s="120"/>
      <c r="G52" s="121" t="n">
        <v>1</v>
      </c>
      <c r="H52" s="122"/>
      <c r="I52" s="123"/>
    </row>
    <row r="53" customFormat="false" ht="12.75" hidden="false" customHeight="false" outlineLevel="0" collapsed="false">
      <c r="B53" s="126" t="s">
        <v>261</v>
      </c>
      <c r="C53" s="127"/>
      <c r="D53" s="128"/>
      <c r="E53" s="119"/>
      <c r="F53" s="120"/>
      <c r="G53" s="121" t="n">
        <v>1</v>
      </c>
      <c r="H53" s="122"/>
      <c r="I53" s="123"/>
    </row>
    <row r="54" customFormat="false" ht="12.75" hidden="false" customHeight="false" outlineLevel="0" collapsed="false">
      <c r="B54" s="126" t="s">
        <v>262</v>
      </c>
      <c r="C54" s="127"/>
      <c r="D54" s="128"/>
      <c r="E54" s="119"/>
      <c r="F54" s="120"/>
      <c r="G54" s="121" t="n">
        <v>1</v>
      </c>
      <c r="H54" s="122"/>
      <c r="I54" s="123"/>
    </row>
    <row r="55" customFormat="false" ht="12.75" hidden="false" customHeight="false" outlineLevel="0" collapsed="false">
      <c r="B55" s="126" t="s">
        <v>263</v>
      </c>
      <c r="C55" s="127"/>
      <c r="D55" s="128"/>
      <c r="E55" s="119"/>
      <c r="F55" s="120"/>
      <c r="G55" s="121" t="n">
        <v>1</v>
      </c>
      <c r="H55" s="122"/>
      <c r="I55" s="123"/>
    </row>
    <row r="56" customFormat="false" ht="12.75" hidden="false" customHeight="false" outlineLevel="0" collapsed="false">
      <c r="B56" s="126"/>
      <c r="C56" s="127"/>
      <c r="D56" s="128"/>
      <c r="E56" s="119"/>
      <c r="F56" s="120"/>
      <c r="G56" s="121" t="n">
        <v>1</v>
      </c>
      <c r="H56" s="122"/>
      <c r="I56" s="123"/>
    </row>
    <row r="57" customFormat="false" ht="12.75" hidden="false" customHeight="false" outlineLevel="0" collapsed="false">
      <c r="B57" s="126"/>
      <c r="C57" s="127"/>
      <c r="D57" s="128"/>
      <c r="E57" s="119"/>
      <c r="F57" s="120"/>
      <c r="G57" s="121"/>
      <c r="H57" s="122"/>
      <c r="I57" s="123"/>
    </row>
    <row r="58" customFormat="false" ht="12.75" hidden="false" customHeight="false" outlineLevel="0" collapsed="false">
      <c r="B58" s="126" t="s">
        <v>264</v>
      </c>
      <c r="C58" s="127"/>
      <c r="D58" s="128"/>
      <c r="E58" s="119"/>
      <c r="F58" s="120"/>
      <c r="G58" s="121"/>
      <c r="H58" s="122"/>
      <c r="I58" s="123"/>
    </row>
    <row r="59" customFormat="false" ht="12.75" hidden="false" customHeight="false" outlineLevel="0" collapsed="false">
      <c r="B59" s="126" t="s">
        <v>265</v>
      </c>
      <c r="C59" s="127"/>
      <c r="D59" s="128"/>
      <c r="E59" s="119"/>
      <c r="F59" s="120"/>
      <c r="G59" s="121" t="n">
        <v>1</v>
      </c>
      <c r="H59" s="122"/>
      <c r="I59" s="123"/>
    </row>
    <row r="60" customFormat="false" ht="12.75" hidden="false" customHeight="false" outlineLevel="0" collapsed="false">
      <c r="B60" s="126" t="s">
        <v>266</v>
      </c>
      <c r="C60" s="127"/>
      <c r="D60" s="128"/>
      <c r="E60" s="119"/>
      <c r="F60" s="120"/>
      <c r="G60" s="121" t="n">
        <v>6</v>
      </c>
      <c r="H60" s="122"/>
      <c r="I60" s="123"/>
    </row>
    <row r="61" customFormat="false" ht="12.75" hidden="false" customHeight="false" outlineLevel="0" collapsed="false">
      <c r="B61" s="126" t="s">
        <v>267</v>
      </c>
      <c r="C61" s="127"/>
      <c r="D61" s="128"/>
      <c r="E61" s="119"/>
      <c r="F61" s="120"/>
      <c r="G61" s="121" t="n">
        <v>1</v>
      </c>
      <c r="H61" s="122"/>
      <c r="I61" s="123"/>
    </row>
    <row r="62" customFormat="false" ht="12.75" hidden="false" customHeight="false" outlineLevel="0" collapsed="false">
      <c r="B62" s="126" t="s">
        <v>268</v>
      </c>
      <c r="C62" s="127"/>
      <c r="D62" s="128"/>
      <c r="E62" s="119"/>
      <c r="F62" s="120"/>
      <c r="G62" s="121" t="n">
        <v>1</v>
      </c>
      <c r="H62" s="122"/>
      <c r="I62" s="123"/>
    </row>
    <row r="63" customFormat="false" ht="12.75" hidden="false" customHeight="false" outlineLevel="0" collapsed="false">
      <c r="B63" s="126" t="s">
        <v>269</v>
      </c>
      <c r="C63" s="127"/>
      <c r="D63" s="128"/>
      <c r="E63" s="119"/>
      <c r="F63" s="120"/>
      <c r="G63" s="121" t="n">
        <v>1</v>
      </c>
      <c r="H63" s="122"/>
      <c r="I63" s="123"/>
    </row>
    <row r="64" customFormat="false" ht="12.75" hidden="false" customHeight="false" outlineLevel="0" collapsed="false">
      <c r="B64" s="126" t="s">
        <v>270</v>
      </c>
      <c r="C64" s="127"/>
      <c r="D64" s="128"/>
      <c r="E64" s="119"/>
      <c r="F64" s="120"/>
      <c r="G64" s="121" t="n">
        <v>1</v>
      </c>
      <c r="H64" s="122"/>
      <c r="I64" s="123"/>
    </row>
    <row r="65" customFormat="false" ht="12.75" hidden="false" customHeight="false" outlineLevel="0" collapsed="false">
      <c r="B65" s="126" t="s">
        <v>271</v>
      </c>
      <c r="C65" s="127"/>
      <c r="D65" s="128"/>
      <c r="E65" s="119"/>
      <c r="F65" s="120"/>
      <c r="G65" s="121" t="n">
        <v>3</v>
      </c>
      <c r="H65" s="122"/>
      <c r="I65" s="123"/>
    </row>
    <row r="66" customFormat="false" ht="12.75" hidden="false" customHeight="false" outlineLevel="0" collapsed="false">
      <c r="B66" s="126"/>
      <c r="C66" s="127"/>
      <c r="D66" s="128"/>
      <c r="E66" s="119"/>
      <c r="F66" s="120"/>
      <c r="G66" s="121" t="n">
        <v>1</v>
      </c>
      <c r="H66" s="122"/>
      <c r="I66" s="123"/>
    </row>
    <row r="67" customFormat="false" ht="12.75" hidden="false" customHeight="false" outlineLevel="0" collapsed="false">
      <c r="B67" s="126" t="s">
        <v>272</v>
      </c>
      <c r="C67" s="127"/>
      <c r="D67" s="128"/>
      <c r="E67" s="119"/>
      <c r="F67" s="120"/>
      <c r="G67" s="121" t="n">
        <v>3</v>
      </c>
      <c r="H67" s="122"/>
      <c r="I67" s="123"/>
    </row>
    <row r="68" customFormat="false" ht="12.75" hidden="false" customHeight="false" outlineLevel="0" collapsed="false">
      <c r="B68" s="126" t="s">
        <v>273</v>
      </c>
      <c r="C68" s="127"/>
      <c r="D68" s="128"/>
      <c r="E68" s="119"/>
      <c r="F68" s="120"/>
      <c r="G68" s="121" t="n">
        <v>1</v>
      </c>
      <c r="H68" s="122"/>
      <c r="I68" s="123"/>
    </row>
    <row r="69" customFormat="false" ht="12.75" hidden="false" customHeight="false" outlineLevel="0" collapsed="false">
      <c r="B69" s="126" t="s">
        <v>274</v>
      </c>
      <c r="C69" s="127"/>
      <c r="D69" s="128"/>
      <c r="E69" s="119"/>
      <c r="F69" s="120"/>
      <c r="G69" s="121" t="n">
        <v>1</v>
      </c>
      <c r="H69" s="122"/>
      <c r="I69" s="123"/>
    </row>
    <row r="70" customFormat="false" ht="12.75" hidden="false" customHeight="false" outlineLevel="0" collapsed="false">
      <c r="B70" s="126" t="s">
        <v>275</v>
      </c>
      <c r="C70" s="127"/>
      <c r="D70" s="128"/>
      <c r="E70" s="119"/>
      <c r="F70" s="120"/>
      <c r="G70" s="121" t="n">
        <v>1</v>
      </c>
      <c r="H70" s="122"/>
      <c r="I70" s="123"/>
    </row>
    <row r="71" customFormat="false" ht="12.75" hidden="false" customHeight="false" outlineLevel="0" collapsed="false">
      <c r="B71" s="126" t="s">
        <v>276</v>
      </c>
      <c r="C71" s="127"/>
      <c r="D71" s="128"/>
      <c r="E71" s="119"/>
      <c r="F71" s="120"/>
      <c r="G71" s="121" t="n">
        <v>1</v>
      </c>
      <c r="H71" s="122"/>
      <c r="I71" s="123"/>
    </row>
    <row r="72" customFormat="false" ht="12.75" hidden="false" customHeight="false" outlineLevel="0" collapsed="false">
      <c r="B72" s="126" t="s">
        <v>277</v>
      </c>
      <c r="C72" s="127"/>
      <c r="D72" s="128"/>
      <c r="E72" s="119"/>
      <c r="F72" s="120"/>
      <c r="G72" s="121" t="n">
        <v>1</v>
      </c>
      <c r="H72" s="122"/>
      <c r="I72" s="123"/>
    </row>
    <row r="73" customFormat="false" ht="12.75" hidden="false" customHeight="false" outlineLevel="0" collapsed="false">
      <c r="B73" s="126" t="s">
        <v>278</v>
      </c>
      <c r="C73" s="127"/>
      <c r="D73" s="128"/>
      <c r="E73" s="119"/>
      <c r="F73" s="120"/>
      <c r="G73" s="121" t="n">
        <v>1</v>
      </c>
      <c r="H73" s="122"/>
      <c r="I73" s="123"/>
    </row>
    <row r="74" customFormat="false" ht="12.75" hidden="false" customHeight="false" outlineLevel="0" collapsed="false">
      <c r="B74" s="126" t="s">
        <v>279</v>
      </c>
      <c r="C74" s="127"/>
      <c r="D74" s="128"/>
      <c r="E74" s="119"/>
      <c r="F74" s="120"/>
      <c r="G74" s="121"/>
      <c r="H74" s="122"/>
      <c r="I74" s="123"/>
    </row>
    <row r="75" customFormat="false" ht="12.75" hidden="false" customHeight="false" outlineLevel="0" collapsed="false">
      <c r="B75" s="126"/>
      <c r="C75" s="127"/>
      <c r="D75" s="128"/>
      <c r="E75" s="119"/>
      <c r="F75" s="120"/>
      <c r="G75" s="121"/>
      <c r="H75" s="122"/>
      <c r="I75" s="123"/>
    </row>
    <row r="76" customFormat="false" ht="12.75" hidden="false" customHeight="false" outlineLevel="0" collapsed="false">
      <c r="B76" s="126"/>
      <c r="C76" s="127"/>
      <c r="D76" s="128"/>
      <c r="E76" s="119"/>
      <c r="F76" s="120"/>
      <c r="G76" s="121"/>
      <c r="H76" s="122"/>
      <c r="I76" s="123"/>
    </row>
    <row r="77" customFormat="false" ht="12.75" hidden="false" customHeight="false" outlineLevel="0" collapsed="false">
      <c r="B77" s="126" t="s">
        <v>280</v>
      </c>
      <c r="C77" s="127"/>
      <c r="D77" s="128"/>
      <c r="E77" s="119"/>
      <c r="F77" s="120"/>
      <c r="G77" s="121"/>
      <c r="H77" s="122"/>
      <c r="I77" s="123"/>
    </row>
    <row r="78" customFormat="false" ht="12.75" hidden="false" customHeight="false" outlineLevel="0" collapsed="false">
      <c r="B78" s="126" t="s">
        <v>281</v>
      </c>
      <c r="C78" s="127"/>
      <c r="D78" s="128"/>
      <c r="E78" s="119"/>
      <c r="F78" s="120"/>
      <c r="G78" s="121" t="n">
        <v>1</v>
      </c>
      <c r="H78" s="122"/>
      <c r="I78" s="123"/>
    </row>
    <row r="79" customFormat="false" ht="12.75" hidden="false" customHeight="false" outlineLevel="0" collapsed="false">
      <c r="B79" s="126" t="s">
        <v>282</v>
      </c>
      <c r="C79" s="127"/>
      <c r="D79" s="128"/>
      <c r="E79" s="119"/>
      <c r="F79" s="120"/>
      <c r="G79" s="121" t="n">
        <v>1</v>
      </c>
      <c r="H79" s="122"/>
      <c r="I79" s="123"/>
    </row>
    <row r="80" customFormat="false" ht="12.75" hidden="false" customHeight="false" outlineLevel="0" collapsed="false">
      <c r="B80" s="126" t="s">
        <v>283</v>
      </c>
      <c r="C80" s="127"/>
      <c r="D80" s="128"/>
      <c r="E80" s="119"/>
      <c r="F80" s="120"/>
      <c r="G80" s="121" t="n">
        <v>1</v>
      </c>
      <c r="H80" s="122"/>
      <c r="I80" s="123"/>
    </row>
    <row r="81" customFormat="false" ht="12.75" hidden="false" customHeight="false" outlineLevel="0" collapsed="false">
      <c r="B81" s="126" t="s">
        <v>284</v>
      </c>
      <c r="C81" s="127"/>
      <c r="D81" s="128"/>
      <c r="E81" s="119"/>
      <c r="F81" s="120"/>
      <c r="G81" s="121" t="n">
        <v>1</v>
      </c>
      <c r="H81" s="122"/>
      <c r="I81" s="123"/>
    </row>
    <row r="82" customFormat="false" ht="12.75" hidden="false" customHeight="false" outlineLevel="0" collapsed="false">
      <c r="B82" s="126" t="s">
        <v>285</v>
      </c>
      <c r="C82" s="127"/>
      <c r="D82" s="128"/>
      <c r="E82" s="119"/>
      <c r="F82" s="120"/>
      <c r="G82" s="121" t="s">
        <v>286</v>
      </c>
      <c r="H82" s="122"/>
      <c r="I82" s="123"/>
    </row>
    <row r="83" customFormat="false" ht="12.75" hidden="false" customHeight="false" outlineLevel="0" collapsed="false">
      <c r="B83" s="126" t="s">
        <v>287</v>
      </c>
      <c r="C83" s="127"/>
      <c r="D83" s="128"/>
      <c r="E83" s="119"/>
      <c r="F83" s="120"/>
      <c r="G83" s="121" t="n">
        <v>1</v>
      </c>
      <c r="H83" s="122"/>
      <c r="I83" s="123"/>
    </row>
    <row r="84" customFormat="false" ht="12.75" hidden="false" customHeight="false" outlineLevel="0" collapsed="false">
      <c r="B84" s="126" t="s">
        <v>288</v>
      </c>
      <c r="C84" s="127"/>
      <c r="D84" s="128"/>
      <c r="E84" s="119"/>
      <c r="F84" s="120"/>
      <c r="G84" s="121" t="n">
        <v>1</v>
      </c>
      <c r="H84" s="122"/>
      <c r="I84" s="123"/>
    </row>
    <row r="85" customFormat="false" ht="12.75" hidden="false" customHeight="false" outlineLevel="0" collapsed="false">
      <c r="B85" s="126" t="s">
        <v>289</v>
      </c>
      <c r="C85" s="127"/>
      <c r="D85" s="128"/>
      <c r="E85" s="119"/>
      <c r="F85" s="120"/>
      <c r="G85" s="121" t="n">
        <v>1</v>
      </c>
      <c r="H85" s="122"/>
      <c r="I85" s="123"/>
    </row>
    <row r="86" customFormat="false" ht="12.75" hidden="false" customHeight="false" outlineLevel="0" collapsed="false">
      <c r="B86" s="126" t="s">
        <v>290</v>
      </c>
      <c r="C86" s="127"/>
      <c r="D86" s="128"/>
      <c r="E86" s="119"/>
      <c r="F86" s="120"/>
      <c r="G86" s="121" t="n">
        <v>1</v>
      </c>
      <c r="H86" s="122"/>
      <c r="I86" s="123"/>
    </row>
    <row r="87" customFormat="false" ht="12.75" hidden="false" customHeight="false" outlineLevel="0" collapsed="false">
      <c r="B87" s="126" t="s">
        <v>291</v>
      </c>
      <c r="C87" s="127"/>
      <c r="D87" s="128"/>
      <c r="E87" s="119"/>
      <c r="F87" s="120"/>
      <c r="G87" s="121" t="n">
        <v>1</v>
      </c>
      <c r="H87" s="122"/>
      <c r="I87" s="123"/>
    </row>
    <row r="88" customFormat="false" ht="12.75" hidden="false" customHeight="false" outlineLevel="0" collapsed="false">
      <c r="B88" s="126" t="s">
        <v>292</v>
      </c>
      <c r="C88" s="127"/>
      <c r="D88" s="128"/>
      <c r="E88" s="119"/>
      <c r="F88" s="120"/>
      <c r="G88" s="121" t="n">
        <v>1</v>
      </c>
      <c r="H88" s="122"/>
      <c r="I88" s="123"/>
    </row>
    <row r="89" customFormat="false" ht="12.75" hidden="false" customHeight="false" outlineLevel="0" collapsed="false">
      <c r="B89" s="126" t="s">
        <v>293</v>
      </c>
      <c r="C89" s="127"/>
      <c r="D89" s="128"/>
      <c r="E89" s="119"/>
      <c r="F89" s="120"/>
      <c r="G89" s="121" t="n">
        <v>1</v>
      </c>
      <c r="H89" s="122"/>
      <c r="I89" s="123"/>
    </row>
    <row r="90" customFormat="false" ht="12.75" hidden="false" customHeight="false" outlineLevel="0" collapsed="false">
      <c r="B90" s="126" t="s">
        <v>294</v>
      </c>
      <c r="C90" s="127"/>
      <c r="D90" s="128"/>
      <c r="E90" s="119"/>
      <c r="F90" s="120"/>
      <c r="G90" s="121" t="n">
        <v>1</v>
      </c>
      <c r="H90" s="122"/>
      <c r="I90" s="123"/>
    </row>
    <row r="91" customFormat="false" ht="12.75" hidden="false" customHeight="false" outlineLevel="0" collapsed="false">
      <c r="B91" s="126"/>
      <c r="C91" s="127"/>
      <c r="D91" s="128"/>
      <c r="E91" s="119"/>
      <c r="F91" s="120"/>
      <c r="G91" s="121"/>
      <c r="H91" s="122"/>
      <c r="I91" s="123"/>
    </row>
    <row r="92" customFormat="false" ht="12.75" hidden="false" customHeight="false" outlineLevel="0" collapsed="false">
      <c r="B92" s="126"/>
      <c r="C92" s="127"/>
      <c r="D92" s="128"/>
      <c r="E92" s="119"/>
      <c r="F92" s="120"/>
      <c r="G92" s="121"/>
      <c r="H92" s="122"/>
      <c r="I92" s="123"/>
    </row>
    <row r="93" customFormat="false" ht="12.75" hidden="false" customHeight="false" outlineLevel="0" collapsed="false">
      <c r="B93" s="126"/>
      <c r="C93" s="127"/>
      <c r="D93" s="128"/>
      <c r="E93" s="119"/>
      <c r="F93" s="120"/>
      <c r="G93" s="121"/>
      <c r="H93" s="122"/>
      <c r="I93" s="123"/>
    </row>
    <row r="94" customFormat="false" ht="12.75" hidden="false" customHeight="false" outlineLevel="0" collapsed="false">
      <c r="B94" s="126"/>
      <c r="C94" s="127"/>
      <c r="D94" s="128"/>
      <c r="E94" s="119"/>
      <c r="F94" s="120"/>
      <c r="G94" s="121"/>
      <c r="H94" s="122"/>
      <c r="I94" s="123"/>
    </row>
    <row r="95" customFormat="false" ht="12.75" hidden="false" customHeight="false" outlineLevel="0" collapsed="false">
      <c r="B95" s="126" t="s">
        <v>295</v>
      </c>
      <c r="C95" s="127"/>
      <c r="D95" s="128"/>
      <c r="E95" s="119"/>
      <c r="F95" s="120"/>
      <c r="G95" s="121"/>
      <c r="H95" s="122"/>
      <c r="I95" s="123"/>
    </row>
    <row r="96" customFormat="false" ht="12.75" hidden="false" customHeight="false" outlineLevel="0" collapsed="false">
      <c r="B96" s="126" t="s">
        <v>296</v>
      </c>
      <c r="C96" s="127"/>
      <c r="D96" s="128"/>
      <c r="E96" s="119"/>
      <c r="F96" s="120"/>
      <c r="G96" s="121" t="s">
        <v>286</v>
      </c>
      <c r="H96" s="122"/>
      <c r="I96" s="123"/>
    </row>
    <row r="97" customFormat="false" ht="12.75" hidden="false" customHeight="false" outlineLevel="0" collapsed="false">
      <c r="B97" s="126" t="s">
        <v>297</v>
      </c>
      <c r="C97" s="127"/>
      <c r="D97" s="128"/>
      <c r="E97" s="119"/>
      <c r="F97" s="120"/>
      <c r="G97" s="121" t="s">
        <v>286</v>
      </c>
      <c r="H97" s="122"/>
      <c r="I97" s="123"/>
    </row>
    <row r="98" customFormat="false" ht="12.75" hidden="false" customHeight="false" outlineLevel="0" collapsed="false">
      <c r="B98" s="126" t="s">
        <v>298</v>
      </c>
      <c r="C98" s="127"/>
      <c r="D98" s="128"/>
      <c r="E98" s="119"/>
      <c r="F98" s="120"/>
      <c r="G98" s="121" t="s">
        <v>286</v>
      </c>
      <c r="H98" s="122"/>
      <c r="I98" s="123"/>
    </row>
    <row r="99" customFormat="false" ht="12.75" hidden="false" customHeight="false" outlineLevel="0" collapsed="false">
      <c r="B99" s="126" t="s">
        <v>299</v>
      </c>
      <c r="C99" s="127"/>
      <c r="D99" s="128"/>
      <c r="E99" s="119"/>
      <c r="F99" s="120"/>
      <c r="G99" s="121" t="s">
        <v>300</v>
      </c>
      <c r="H99" s="122"/>
      <c r="I99" s="123"/>
    </row>
    <row r="100" customFormat="false" ht="12.75" hidden="false" customHeight="false" outlineLevel="0" collapsed="false">
      <c r="B100" s="126" t="s">
        <v>301</v>
      </c>
      <c r="C100" s="127"/>
      <c r="D100" s="128"/>
      <c r="E100" s="119"/>
      <c r="F100" s="120"/>
      <c r="G100" s="121" t="n">
        <v>1</v>
      </c>
      <c r="H100" s="122"/>
      <c r="I100" s="123"/>
    </row>
    <row r="101" customFormat="false" ht="12.75" hidden="false" customHeight="false" outlineLevel="0" collapsed="false">
      <c r="B101" s="126" t="s">
        <v>302</v>
      </c>
      <c r="C101" s="127"/>
      <c r="D101" s="128"/>
      <c r="E101" s="119"/>
      <c r="F101" s="120"/>
      <c r="G101" s="121" t="n">
        <v>1</v>
      </c>
      <c r="H101" s="122"/>
      <c r="I101" s="123"/>
    </row>
    <row r="102" customFormat="false" ht="12.75" hidden="false" customHeight="false" outlineLevel="0" collapsed="false">
      <c r="B102" s="126" t="s">
        <v>303</v>
      </c>
      <c r="C102" s="127"/>
      <c r="D102" s="128"/>
      <c r="E102" s="119"/>
      <c r="F102" s="120"/>
      <c r="G102" s="121" t="s">
        <v>286</v>
      </c>
      <c r="H102" s="122"/>
      <c r="I102" s="123"/>
    </row>
    <row r="103" customFormat="false" ht="12.75" hidden="false" customHeight="false" outlineLevel="0" collapsed="false">
      <c r="B103" s="126" t="s">
        <v>304</v>
      </c>
      <c r="C103" s="127"/>
      <c r="D103" s="128"/>
      <c r="E103" s="119"/>
      <c r="F103" s="120"/>
      <c r="G103" s="121" t="s">
        <v>286</v>
      </c>
      <c r="H103" s="122"/>
      <c r="I103" s="123"/>
    </row>
    <row r="104" customFormat="false" ht="12.75" hidden="false" customHeight="false" outlineLevel="0" collapsed="false">
      <c r="B104" s="126" t="s">
        <v>305</v>
      </c>
      <c r="C104" s="127"/>
      <c r="D104" s="128"/>
      <c r="E104" s="119"/>
      <c r="F104" s="120"/>
      <c r="G104" s="121" t="s">
        <v>286</v>
      </c>
      <c r="H104" s="122"/>
      <c r="I104" s="123"/>
    </row>
    <row r="105" customFormat="false" ht="12.75" hidden="false" customHeight="false" outlineLevel="0" collapsed="false">
      <c r="B105" s="126" t="s">
        <v>306</v>
      </c>
      <c r="C105" s="127"/>
      <c r="D105" s="128"/>
      <c r="E105" s="119"/>
      <c r="F105" s="120"/>
      <c r="G105" s="121" t="n">
        <v>3</v>
      </c>
      <c r="H105" s="122"/>
      <c r="I105" s="123" t="s">
        <v>307</v>
      </c>
    </row>
    <row r="106" customFormat="false" ht="12.75" hidden="false" customHeight="false" outlineLevel="0" collapsed="false">
      <c r="B106" s="126" t="s">
        <v>308</v>
      </c>
      <c r="C106" s="129"/>
      <c r="D106" s="128"/>
      <c r="E106" s="119"/>
      <c r="F106" s="120"/>
      <c r="G106" s="121" t="s">
        <v>286</v>
      </c>
      <c r="H106" s="122"/>
      <c r="I106" s="123"/>
    </row>
    <row r="107" customFormat="false" ht="12.75" hidden="false" customHeight="false" outlineLevel="0" collapsed="false">
      <c r="B107" s="126"/>
      <c r="C107" s="127"/>
      <c r="D107" s="128"/>
      <c r="E107" s="119"/>
      <c r="F107" s="120"/>
      <c r="G107" s="121"/>
      <c r="H107" s="122"/>
      <c r="I107" s="123"/>
    </row>
    <row r="108" customFormat="false" ht="12.75" hidden="false" customHeight="false" outlineLevel="0" collapsed="false">
      <c r="B108" s="126"/>
      <c r="C108" s="127"/>
      <c r="D108" s="128"/>
      <c r="E108" s="119"/>
      <c r="F108" s="120"/>
      <c r="G108" s="121"/>
      <c r="H108" s="122"/>
      <c r="I108" s="123"/>
    </row>
    <row r="109" customFormat="false" ht="12.75" hidden="false" customHeight="false" outlineLevel="0" collapsed="false">
      <c r="B109" s="130"/>
      <c r="C109" s="130"/>
      <c r="D109" s="130"/>
      <c r="E109" s="119"/>
      <c r="F109" s="120"/>
      <c r="G109" s="121"/>
      <c r="H109" s="122"/>
      <c r="I109" s="123"/>
    </row>
    <row r="110" customFormat="false" ht="15" hidden="false" customHeight="true" outlineLevel="0" collapsed="false">
      <c r="B110" s="44" t="s">
        <v>309</v>
      </c>
      <c r="C110" s="44"/>
      <c r="D110" s="44"/>
      <c r="E110" s="45"/>
      <c r="F110" s="45"/>
      <c r="G110" s="45"/>
      <c r="H110" s="46"/>
      <c r="I110" s="131" t="s">
        <v>219</v>
      </c>
    </row>
    <row r="111" customFormat="false" ht="15" hidden="false" customHeight="true" outlineLevel="0" collapsed="false">
      <c r="B111" s="44"/>
      <c r="C111" s="44"/>
      <c r="D111" s="44"/>
      <c r="E111" s="49" t="s">
        <v>5</v>
      </c>
      <c r="F111" s="50" t="s">
        <v>6</v>
      </c>
      <c r="G111" s="51" t="s">
        <v>7</v>
      </c>
      <c r="H111" s="52"/>
      <c r="I111" s="131"/>
    </row>
    <row r="112" customFormat="false" ht="12.75" hidden="false" customHeight="false" outlineLevel="0" collapsed="false">
      <c r="B112" s="132" t="s">
        <v>310</v>
      </c>
      <c r="C112" s="132"/>
      <c r="D112" s="132"/>
      <c r="E112" s="119" t="s">
        <v>286</v>
      </c>
      <c r="F112" s="120"/>
      <c r="G112" s="133" t="s">
        <v>311</v>
      </c>
      <c r="H112" s="122"/>
      <c r="I112" s="123"/>
    </row>
    <row r="113" customFormat="false" ht="12.75" hidden="false" customHeight="false" outlineLevel="0" collapsed="false">
      <c r="B113" s="125" t="s">
        <v>312</v>
      </c>
      <c r="C113" s="125"/>
      <c r="D113" s="125"/>
      <c r="E113" s="119" t="s">
        <v>286</v>
      </c>
      <c r="F113" s="120"/>
      <c r="G113" s="133" t="s">
        <v>311</v>
      </c>
      <c r="H113" s="122"/>
      <c r="I113" s="123"/>
    </row>
    <row r="114" customFormat="false" ht="12.75" hidden="false" customHeight="false" outlineLevel="0" collapsed="false">
      <c r="B114" s="125" t="s">
        <v>313</v>
      </c>
      <c r="C114" s="125"/>
      <c r="D114" s="125"/>
      <c r="E114" s="119" t="s">
        <v>286</v>
      </c>
      <c r="F114" s="120"/>
      <c r="G114" s="133" t="n">
        <v>8</v>
      </c>
      <c r="H114" s="122"/>
      <c r="I114" s="123"/>
    </row>
    <row r="115" customFormat="false" ht="12.75" hidden="false" customHeight="false" outlineLevel="0" collapsed="false">
      <c r="B115" s="134" t="s">
        <v>314</v>
      </c>
      <c r="C115" s="134"/>
      <c r="D115" s="134"/>
      <c r="E115" s="119" t="s">
        <v>286</v>
      </c>
      <c r="F115" s="120"/>
      <c r="G115" s="133" t="n">
        <v>3</v>
      </c>
      <c r="H115" s="122"/>
      <c r="I115" s="123"/>
    </row>
    <row r="116" customFormat="false" ht="12.75" hidden="false" customHeight="false" outlineLevel="0" collapsed="false">
      <c r="B116" s="134" t="s">
        <v>315</v>
      </c>
      <c r="C116" s="134"/>
      <c r="D116" s="134"/>
      <c r="E116" s="119" t="s">
        <v>286</v>
      </c>
      <c r="F116" s="120"/>
      <c r="G116" s="133" t="n">
        <v>4</v>
      </c>
      <c r="H116" s="122"/>
      <c r="I116" s="123"/>
    </row>
    <row r="117" customFormat="false" ht="12.75" hidden="false" customHeight="false" outlineLevel="0" collapsed="false">
      <c r="B117" s="134" t="s">
        <v>316</v>
      </c>
      <c r="C117" s="134"/>
      <c r="D117" s="134"/>
      <c r="E117" s="119" t="s">
        <v>286</v>
      </c>
      <c r="F117" s="120"/>
      <c r="G117" s="133" t="n">
        <v>4</v>
      </c>
      <c r="H117" s="122"/>
      <c r="I117" s="123"/>
    </row>
    <row r="118" customFormat="false" ht="12.75" hidden="false" customHeight="false" outlineLevel="0" collapsed="false">
      <c r="B118" s="134" t="s">
        <v>317</v>
      </c>
      <c r="C118" s="134"/>
      <c r="D118" s="134"/>
      <c r="E118" s="119" t="s">
        <v>286</v>
      </c>
      <c r="F118" s="120"/>
      <c r="G118" s="133" t="n">
        <v>3</v>
      </c>
      <c r="H118" s="122"/>
      <c r="I118" s="123"/>
    </row>
    <row r="119" customFormat="false" ht="12.75" hidden="false" customHeight="false" outlineLevel="0" collapsed="false">
      <c r="B119" s="134" t="s">
        <v>318</v>
      </c>
      <c r="C119" s="134"/>
      <c r="D119" s="134"/>
      <c r="E119" s="119" t="s">
        <v>286</v>
      </c>
      <c r="F119" s="120"/>
      <c r="G119" s="133" t="n">
        <v>4</v>
      </c>
      <c r="H119" s="122"/>
      <c r="I119" s="123"/>
    </row>
    <row r="120" customFormat="false" ht="12.75" hidden="false" customHeight="false" outlineLevel="0" collapsed="false">
      <c r="B120" s="134" t="s">
        <v>319</v>
      </c>
      <c r="C120" s="134"/>
      <c r="D120" s="134"/>
      <c r="E120" s="119" t="s">
        <v>286</v>
      </c>
      <c r="F120" s="120"/>
      <c r="G120" s="133" t="n">
        <v>4</v>
      </c>
      <c r="H120" s="122"/>
      <c r="I120" s="123"/>
    </row>
    <row r="121" customFormat="false" ht="12.75" hidden="false" customHeight="false" outlineLevel="0" collapsed="false">
      <c r="B121" s="134" t="s">
        <v>320</v>
      </c>
      <c r="C121" s="134"/>
      <c r="D121" s="134"/>
      <c r="E121" s="119" t="s">
        <v>286</v>
      </c>
      <c r="F121" s="120"/>
      <c r="G121" s="133" t="n">
        <v>4</v>
      </c>
      <c r="H121" s="122"/>
      <c r="I121" s="123"/>
    </row>
    <row r="122" customFormat="false" ht="12.75" hidden="false" customHeight="false" outlineLevel="0" collapsed="false">
      <c r="B122" s="125" t="s">
        <v>321</v>
      </c>
      <c r="C122" s="125"/>
      <c r="D122" s="125"/>
      <c r="E122" s="119" t="s">
        <v>286</v>
      </c>
      <c r="F122" s="120"/>
      <c r="G122" s="133" t="n">
        <v>1</v>
      </c>
      <c r="H122" s="122"/>
      <c r="I122" s="123"/>
    </row>
    <row r="123" customFormat="false" ht="12.75" hidden="false" customHeight="false" outlineLevel="0" collapsed="false">
      <c r="B123" s="135"/>
      <c r="C123" s="129"/>
      <c r="D123" s="136"/>
      <c r="E123" s="119" t="s">
        <v>286</v>
      </c>
      <c r="F123" s="120"/>
      <c r="G123" s="133" t="n">
        <v>2</v>
      </c>
      <c r="H123" s="122"/>
      <c r="I123" s="123"/>
    </row>
    <row r="124" customFormat="false" ht="12.75" hidden="false" customHeight="false" outlineLevel="0" collapsed="false">
      <c r="B124" s="137"/>
      <c r="C124" s="137"/>
      <c r="D124" s="137"/>
      <c r="E124" s="119"/>
      <c r="F124" s="120"/>
      <c r="G124" s="133"/>
      <c r="H124" s="122"/>
      <c r="I124" s="123"/>
    </row>
    <row r="125" customFormat="false" ht="15" hidden="false" customHeight="true" outlineLevel="0" collapsed="false">
      <c r="B125" s="44" t="s">
        <v>322</v>
      </c>
      <c r="C125" s="44"/>
      <c r="D125" s="44"/>
      <c r="E125" s="45"/>
      <c r="F125" s="45"/>
      <c r="G125" s="45"/>
      <c r="H125" s="46"/>
      <c r="I125" s="131" t="s">
        <v>219</v>
      </c>
    </row>
    <row r="126" customFormat="false" ht="15" hidden="false" customHeight="true" outlineLevel="0" collapsed="false">
      <c r="B126" s="44"/>
      <c r="C126" s="44"/>
      <c r="D126" s="44"/>
      <c r="E126" s="49" t="s">
        <v>5</v>
      </c>
      <c r="F126" s="50" t="s">
        <v>6</v>
      </c>
      <c r="G126" s="51" t="s">
        <v>7</v>
      </c>
      <c r="H126" s="52"/>
      <c r="I126" s="131"/>
    </row>
    <row r="127" customFormat="false" ht="12.75" hidden="false" customHeight="false" outlineLevel="0" collapsed="false">
      <c r="B127" s="135" t="s">
        <v>323</v>
      </c>
      <c r="C127" s="138"/>
      <c r="D127" s="129"/>
      <c r="E127" s="119" t="s">
        <v>324</v>
      </c>
      <c r="F127" s="120"/>
      <c r="G127" s="133" t="n">
        <v>1</v>
      </c>
      <c r="H127" s="122"/>
      <c r="I127" s="123"/>
    </row>
    <row r="128" customFormat="false" ht="12.75" hidden="false" customHeight="false" outlineLevel="0" collapsed="false">
      <c r="B128" s="135" t="s">
        <v>325</v>
      </c>
      <c r="C128" s="129"/>
      <c r="D128" s="129"/>
      <c r="E128" s="119" t="s">
        <v>324</v>
      </c>
      <c r="F128" s="120"/>
      <c r="G128" s="133" t="n">
        <v>1</v>
      </c>
      <c r="H128" s="122"/>
      <c r="I128" s="123"/>
    </row>
    <row r="129" customFormat="false" ht="12.75" hidden="false" customHeight="false" outlineLevel="0" collapsed="false">
      <c r="B129" s="135" t="s">
        <v>326</v>
      </c>
      <c r="C129" s="129"/>
      <c r="D129" s="129"/>
      <c r="E129" s="119" t="s">
        <v>324</v>
      </c>
      <c r="F129" s="120"/>
      <c r="G129" s="133" t="n">
        <v>1</v>
      </c>
      <c r="H129" s="122"/>
      <c r="I129" s="123"/>
    </row>
    <row r="130" customFormat="false" ht="12.75" hidden="false" customHeight="false" outlineLevel="0" collapsed="false">
      <c r="B130" s="135" t="s">
        <v>327</v>
      </c>
      <c r="C130" s="129"/>
      <c r="D130" s="129"/>
      <c r="E130" s="119" t="s">
        <v>324</v>
      </c>
      <c r="F130" s="120"/>
      <c r="G130" s="133" t="n">
        <v>1</v>
      </c>
      <c r="H130" s="122"/>
      <c r="I130" s="123"/>
    </row>
    <row r="131" customFormat="false" ht="12.75" hidden="false" customHeight="false" outlineLevel="0" collapsed="false">
      <c r="B131" s="137"/>
      <c r="C131" s="137"/>
      <c r="D131" s="137"/>
      <c r="E131" s="119"/>
      <c r="F131" s="120"/>
      <c r="G131" s="133"/>
      <c r="H131" s="122"/>
      <c r="I131" s="123"/>
    </row>
    <row r="132" customFormat="false" ht="12.75" hidden="false" customHeight="true" outlineLevel="0" collapsed="false">
      <c r="B132" s="44" t="s">
        <v>328</v>
      </c>
      <c r="C132" s="44"/>
      <c r="D132" s="44"/>
      <c r="E132" s="45"/>
      <c r="F132" s="45"/>
      <c r="G132" s="45"/>
      <c r="H132" s="46"/>
      <c r="I132" s="131" t="s">
        <v>219</v>
      </c>
    </row>
    <row r="133" customFormat="false" ht="14.25" hidden="false" customHeight="true" outlineLevel="0" collapsed="false">
      <c r="B133" s="44"/>
      <c r="C133" s="44"/>
      <c r="D133" s="44"/>
      <c r="E133" s="49" t="s">
        <v>5</v>
      </c>
      <c r="F133" s="50" t="s">
        <v>6</v>
      </c>
      <c r="G133" s="51" t="s">
        <v>7</v>
      </c>
      <c r="H133" s="52"/>
      <c r="I133" s="131"/>
    </row>
    <row r="134" customFormat="false" ht="12.75" hidden="false" customHeight="true" outlineLevel="0" collapsed="false">
      <c r="B134" s="139" t="s">
        <v>329</v>
      </c>
      <c r="C134" s="139"/>
      <c r="D134" s="139"/>
      <c r="E134" s="119"/>
      <c r="F134" s="120"/>
      <c r="G134" s="133" t="n">
        <v>3</v>
      </c>
      <c r="H134" s="122"/>
      <c r="I134" s="123"/>
    </row>
    <row r="135" customFormat="false" ht="12.75" hidden="false" customHeight="true" outlineLevel="0" collapsed="false">
      <c r="B135" s="123" t="s">
        <v>330</v>
      </c>
      <c r="C135" s="123"/>
      <c r="D135" s="123"/>
      <c r="E135" s="119"/>
      <c r="F135" s="120"/>
      <c r="G135" s="133" t="n">
        <v>3</v>
      </c>
      <c r="H135" s="122"/>
      <c r="I135" s="123"/>
    </row>
    <row r="136" customFormat="false" ht="12.75" hidden="false" customHeight="true" outlineLevel="0" collapsed="false">
      <c r="B136" s="116" t="s">
        <v>331</v>
      </c>
      <c r="C136" s="117"/>
      <c r="D136" s="118"/>
      <c r="E136" s="119"/>
      <c r="F136" s="120"/>
      <c r="G136" s="133" t="n">
        <v>3</v>
      </c>
      <c r="H136" s="122"/>
      <c r="I136" s="123"/>
    </row>
    <row r="137" customFormat="false" ht="12.75" hidden="false" customHeight="true" outlineLevel="0" collapsed="false">
      <c r="B137" s="123" t="s">
        <v>332</v>
      </c>
      <c r="C137" s="123"/>
      <c r="D137" s="123"/>
      <c r="E137" s="119"/>
      <c r="F137" s="120"/>
      <c r="G137" s="133" t="n">
        <v>2</v>
      </c>
      <c r="H137" s="122"/>
      <c r="I137" s="123"/>
    </row>
    <row r="138" customFormat="false" ht="12.75" hidden="false" customHeight="true" outlineLevel="0" collapsed="false">
      <c r="B138" s="116" t="s">
        <v>333</v>
      </c>
      <c r="C138" s="117"/>
      <c r="D138" s="118"/>
      <c r="E138" s="119"/>
      <c r="F138" s="120"/>
      <c r="G138" s="133" t="n">
        <v>2</v>
      </c>
      <c r="H138" s="122"/>
      <c r="I138" s="123"/>
    </row>
    <row r="139" customFormat="false" ht="12.75" hidden="false" customHeight="true" outlineLevel="0" collapsed="false">
      <c r="B139" s="116" t="s">
        <v>334</v>
      </c>
      <c r="C139" s="117"/>
      <c r="D139" s="118"/>
      <c r="E139" s="119"/>
      <c r="F139" s="120"/>
      <c r="G139" s="133" t="n">
        <v>2</v>
      </c>
      <c r="H139" s="122"/>
      <c r="I139" s="123"/>
    </row>
    <row r="140" customFormat="false" ht="12.75" hidden="false" customHeight="true" outlineLevel="0" collapsed="false">
      <c r="B140" s="116" t="s">
        <v>335</v>
      </c>
      <c r="C140" s="117"/>
      <c r="D140" s="118"/>
      <c r="E140" s="119"/>
      <c r="F140" s="120"/>
      <c r="G140" s="133" t="n">
        <v>3</v>
      </c>
      <c r="H140" s="122"/>
      <c r="I140" s="123"/>
    </row>
    <row r="141" customFormat="false" ht="12.75" hidden="false" customHeight="true" outlineLevel="0" collapsed="false">
      <c r="B141" s="116" t="s">
        <v>336</v>
      </c>
      <c r="C141" s="117"/>
      <c r="D141" s="118"/>
      <c r="E141" s="119"/>
      <c r="F141" s="120"/>
      <c r="G141" s="133" t="n">
        <v>3</v>
      </c>
      <c r="H141" s="122"/>
      <c r="I141" s="123"/>
    </row>
    <row r="142" customFormat="false" ht="12.75" hidden="false" customHeight="true" outlineLevel="0" collapsed="false">
      <c r="B142" s="116" t="s">
        <v>337</v>
      </c>
      <c r="C142" s="117"/>
      <c r="D142" s="118"/>
      <c r="E142" s="119"/>
      <c r="F142" s="120"/>
      <c r="G142" s="133" t="n">
        <v>3</v>
      </c>
      <c r="H142" s="122"/>
      <c r="I142" s="123"/>
    </row>
    <row r="143" customFormat="false" ht="12.75" hidden="false" customHeight="true" outlineLevel="0" collapsed="false">
      <c r="B143" s="116" t="s">
        <v>338</v>
      </c>
      <c r="C143" s="117"/>
      <c r="D143" s="118"/>
      <c r="E143" s="119"/>
      <c r="F143" s="120"/>
      <c r="G143" s="133" t="n">
        <v>3</v>
      </c>
      <c r="H143" s="122"/>
      <c r="I143" s="123"/>
    </row>
    <row r="144" customFormat="false" ht="12.75" hidden="false" customHeight="true" outlineLevel="0" collapsed="false">
      <c r="B144" s="116" t="s">
        <v>339</v>
      </c>
      <c r="C144" s="117"/>
      <c r="D144" s="118"/>
      <c r="E144" s="119"/>
      <c r="F144" s="120"/>
      <c r="G144" s="133" t="n">
        <v>3</v>
      </c>
      <c r="H144" s="122"/>
      <c r="I144" s="123"/>
    </row>
    <row r="145" customFormat="false" ht="12.75" hidden="false" customHeight="true" outlineLevel="0" collapsed="false">
      <c r="B145" s="116" t="s">
        <v>340</v>
      </c>
      <c r="C145" s="117"/>
      <c r="D145" s="118"/>
      <c r="E145" s="119"/>
      <c r="F145" s="120"/>
      <c r="G145" s="133" t="n">
        <v>3</v>
      </c>
      <c r="H145" s="122"/>
      <c r="I145" s="123"/>
    </row>
    <row r="146" customFormat="false" ht="12.75" hidden="false" customHeight="true" outlineLevel="0" collapsed="false">
      <c r="B146" s="116" t="s">
        <v>341</v>
      </c>
      <c r="C146" s="117"/>
      <c r="D146" s="118"/>
      <c r="E146" s="119"/>
      <c r="F146" s="120"/>
      <c r="G146" s="133" t="n">
        <v>3</v>
      </c>
      <c r="H146" s="122"/>
      <c r="I146" s="123"/>
    </row>
    <row r="147" customFormat="false" ht="12.75" hidden="false" customHeight="true" outlineLevel="0" collapsed="false">
      <c r="B147" s="123" t="s">
        <v>342</v>
      </c>
      <c r="C147" s="123"/>
      <c r="D147" s="123"/>
      <c r="E147" s="119"/>
      <c r="F147" s="120"/>
      <c r="G147" s="133" t="n">
        <v>3</v>
      </c>
      <c r="H147" s="122"/>
      <c r="I147" s="123"/>
    </row>
    <row r="148" customFormat="false" ht="12.75" hidden="false" customHeight="true" outlineLevel="0" collapsed="false">
      <c r="B148" s="97"/>
      <c r="C148" s="97"/>
      <c r="D148" s="97"/>
      <c r="E148" s="119"/>
      <c r="F148" s="120"/>
      <c r="G148" s="133" t="n">
        <v>3</v>
      </c>
      <c r="H148" s="122"/>
      <c r="I148" s="123"/>
    </row>
    <row r="149" customFormat="false" ht="12.75" hidden="false" customHeight="true" outlineLevel="0" collapsed="false">
      <c r="B149" s="116"/>
      <c r="C149" s="140"/>
      <c r="D149" s="141"/>
      <c r="E149" s="119"/>
      <c r="F149" s="120"/>
      <c r="G149" s="133"/>
      <c r="H149" s="122"/>
      <c r="I149" s="123"/>
    </row>
    <row r="150" customFormat="false" ht="12.75" hidden="false" customHeight="false" outlineLevel="0" collapsed="false">
      <c r="B150" s="116"/>
      <c r="C150" s="140"/>
      <c r="D150" s="141"/>
      <c r="E150" s="119"/>
      <c r="F150" s="120"/>
      <c r="G150" s="133"/>
      <c r="H150" s="122"/>
      <c r="I150" s="123"/>
    </row>
    <row r="151" customFormat="false" ht="12.75" hidden="false" customHeight="false" outlineLevel="0" collapsed="false">
      <c r="B151" s="116"/>
      <c r="C151" s="140"/>
      <c r="D151" s="141"/>
      <c r="E151" s="119"/>
      <c r="F151" s="120"/>
      <c r="G151" s="133"/>
      <c r="H151" s="122"/>
      <c r="I151" s="123"/>
    </row>
    <row r="152" customFormat="false" ht="12.75" hidden="false" customHeight="false" outlineLevel="0" collapsed="false">
      <c r="B152" s="123"/>
      <c r="C152" s="123"/>
      <c r="D152" s="123"/>
      <c r="E152" s="119"/>
      <c r="F152" s="120"/>
      <c r="G152" s="133"/>
      <c r="H152" s="122"/>
      <c r="I152" s="123"/>
    </row>
    <row r="153" customFormat="false" ht="12.75" hidden="false" customHeight="false" outlineLevel="0" collapsed="false">
      <c r="B153" s="137"/>
      <c r="C153" s="137"/>
      <c r="D153" s="137"/>
      <c r="E153" s="119"/>
      <c r="F153" s="120"/>
      <c r="G153" s="133"/>
      <c r="H153" s="122"/>
      <c r="I153" s="123"/>
    </row>
    <row r="154" customFormat="false" ht="12.75" hidden="false" customHeight="false" outlineLevel="0" collapsed="false">
      <c r="B154" s="125"/>
      <c r="C154" s="125"/>
      <c r="D154" s="125"/>
      <c r="E154" s="119"/>
      <c r="F154" s="120"/>
      <c r="G154" s="133"/>
      <c r="H154" s="122"/>
      <c r="I154" s="123"/>
    </row>
    <row r="155" customFormat="false" ht="12.75" hidden="false" customHeight="true" outlineLevel="0" collapsed="false">
      <c r="B155" s="44" t="s">
        <v>343</v>
      </c>
      <c r="C155" s="44"/>
      <c r="D155" s="44"/>
      <c r="E155" s="45"/>
      <c r="F155" s="45"/>
      <c r="G155" s="45"/>
      <c r="H155" s="46"/>
      <c r="I155" s="131" t="s">
        <v>219</v>
      </c>
    </row>
    <row r="156" customFormat="false" ht="12.75" hidden="false" customHeight="false" outlineLevel="0" collapsed="false">
      <c r="B156" s="44"/>
      <c r="C156" s="44"/>
      <c r="D156" s="44"/>
      <c r="E156" s="49" t="s">
        <v>5</v>
      </c>
      <c r="F156" s="50" t="s">
        <v>6</v>
      </c>
      <c r="G156" s="51" t="s">
        <v>7</v>
      </c>
      <c r="H156" s="52"/>
      <c r="I156" s="131"/>
    </row>
    <row r="157" customFormat="false" ht="12.75" hidden="false" customHeight="false" outlineLevel="0" collapsed="false">
      <c r="B157" s="139" t="s">
        <v>202</v>
      </c>
      <c r="C157" s="139"/>
      <c r="D157" s="139"/>
      <c r="E157" s="119" t="s">
        <v>286</v>
      </c>
      <c r="F157" s="120"/>
      <c r="G157" s="133" t="n">
        <v>6</v>
      </c>
      <c r="H157" s="122"/>
      <c r="I157" s="123" t="s">
        <v>344</v>
      </c>
    </row>
    <row r="158" customFormat="false" ht="12.75" hidden="false" customHeight="false" outlineLevel="0" collapsed="false">
      <c r="B158" s="123" t="s">
        <v>345</v>
      </c>
      <c r="C158" s="123"/>
      <c r="D158" s="123"/>
      <c r="E158" s="119" t="s">
        <v>286</v>
      </c>
      <c r="F158" s="120"/>
      <c r="G158" s="133" t="n">
        <v>2</v>
      </c>
      <c r="H158" s="122"/>
      <c r="I158" s="123" t="s">
        <v>13</v>
      </c>
    </row>
    <row r="159" customFormat="false" ht="12.75" hidden="false" customHeight="false" outlineLevel="0" collapsed="false">
      <c r="B159" s="116" t="s">
        <v>346</v>
      </c>
      <c r="C159" s="117"/>
      <c r="D159" s="118"/>
      <c r="E159" s="119" t="s">
        <v>286</v>
      </c>
      <c r="F159" s="120"/>
      <c r="G159" s="133" t="n">
        <v>5</v>
      </c>
      <c r="H159" s="122"/>
      <c r="I159" s="123" t="s">
        <v>13</v>
      </c>
    </row>
    <row r="160" customFormat="false" ht="12.75" hidden="false" customHeight="false" outlineLevel="0" collapsed="false">
      <c r="B160" s="116" t="s">
        <v>347</v>
      </c>
      <c r="C160" s="117"/>
      <c r="D160" s="118"/>
      <c r="E160" s="119" t="s">
        <v>286</v>
      </c>
      <c r="F160" s="120"/>
      <c r="G160" s="133" t="n">
        <v>2</v>
      </c>
      <c r="H160" s="122"/>
      <c r="I160" s="123" t="s">
        <v>13</v>
      </c>
    </row>
    <row r="161" customFormat="false" ht="12.75" hidden="false" customHeight="false" outlineLevel="0" collapsed="false">
      <c r="B161" s="116" t="s">
        <v>348</v>
      </c>
      <c r="C161" s="117"/>
      <c r="D161" s="118"/>
      <c r="E161" s="119" t="s">
        <v>286</v>
      </c>
      <c r="F161" s="120"/>
      <c r="G161" s="133" t="n">
        <v>3</v>
      </c>
      <c r="H161" s="122"/>
      <c r="I161" s="123" t="s">
        <v>13</v>
      </c>
    </row>
    <row r="162" customFormat="false" ht="12.75" hidden="false" customHeight="false" outlineLevel="0" collapsed="false">
      <c r="B162" s="116" t="s">
        <v>349</v>
      </c>
      <c r="C162" s="117"/>
      <c r="D162" s="118"/>
      <c r="E162" s="119" t="s">
        <v>286</v>
      </c>
      <c r="F162" s="120"/>
      <c r="G162" s="133" t="n">
        <v>5</v>
      </c>
      <c r="H162" s="122"/>
      <c r="I162" s="123" t="s">
        <v>13</v>
      </c>
    </row>
    <row r="163" customFormat="false" ht="12.75" hidden="false" customHeight="false" outlineLevel="0" collapsed="false">
      <c r="B163" s="116" t="s">
        <v>350</v>
      </c>
      <c r="C163" s="117"/>
      <c r="D163" s="118"/>
      <c r="E163" s="119" t="s">
        <v>286</v>
      </c>
      <c r="F163" s="120"/>
      <c r="G163" s="133" t="n">
        <v>2</v>
      </c>
      <c r="H163" s="122"/>
      <c r="I163" s="123" t="s">
        <v>13</v>
      </c>
    </row>
    <row r="164" customFormat="false" ht="12.75" hidden="false" customHeight="false" outlineLevel="0" collapsed="false">
      <c r="B164" s="116" t="s">
        <v>351</v>
      </c>
      <c r="C164" s="117"/>
      <c r="D164" s="118"/>
      <c r="E164" s="119" t="s">
        <v>286</v>
      </c>
      <c r="F164" s="120"/>
      <c r="G164" s="133" t="n">
        <v>4</v>
      </c>
      <c r="H164" s="122"/>
      <c r="I164" s="123" t="s">
        <v>13</v>
      </c>
    </row>
    <row r="165" customFormat="false" ht="12.75" hidden="false" customHeight="false" outlineLevel="0" collapsed="false">
      <c r="B165" s="116" t="s">
        <v>352</v>
      </c>
      <c r="C165" s="117"/>
      <c r="D165" s="118"/>
      <c r="E165" s="119" t="s">
        <v>286</v>
      </c>
      <c r="F165" s="120"/>
      <c r="G165" s="133" t="n">
        <v>2</v>
      </c>
      <c r="H165" s="122"/>
      <c r="I165" s="123" t="s">
        <v>13</v>
      </c>
    </row>
    <row r="166" customFormat="false" ht="12.75" hidden="false" customHeight="false" outlineLevel="0" collapsed="false">
      <c r="B166" s="123" t="s">
        <v>353</v>
      </c>
      <c r="C166" s="123"/>
      <c r="D166" s="123"/>
      <c r="E166" s="119" t="s">
        <v>286</v>
      </c>
      <c r="F166" s="120"/>
      <c r="G166" s="133" t="n">
        <v>3</v>
      </c>
      <c r="H166" s="122"/>
      <c r="I166" s="123" t="s">
        <v>13</v>
      </c>
    </row>
    <row r="167" customFormat="false" ht="12.75" hidden="false" customHeight="false" outlineLevel="0" collapsed="false">
      <c r="B167" s="123" t="s">
        <v>354</v>
      </c>
      <c r="C167" s="123"/>
      <c r="D167" s="123"/>
      <c r="E167" s="119" t="s">
        <v>286</v>
      </c>
      <c r="F167" s="120"/>
      <c r="G167" s="133" t="n">
        <v>3</v>
      </c>
      <c r="H167" s="122"/>
      <c r="I167" s="123" t="s">
        <v>13</v>
      </c>
    </row>
    <row r="168" customFormat="false" ht="12.75" hidden="false" customHeight="false" outlineLevel="0" collapsed="false">
      <c r="B168" s="123" t="s">
        <v>355</v>
      </c>
      <c r="C168" s="123"/>
      <c r="D168" s="123"/>
      <c r="E168" s="119" t="s">
        <v>286</v>
      </c>
      <c r="F168" s="120"/>
      <c r="G168" s="133" t="n">
        <v>2</v>
      </c>
      <c r="H168" s="122"/>
      <c r="I168" s="123" t="s">
        <v>13</v>
      </c>
    </row>
    <row r="169" customFormat="false" ht="12.75" hidden="false" customHeight="false" outlineLevel="0" collapsed="false">
      <c r="B169" s="123" t="s">
        <v>356</v>
      </c>
      <c r="C169" s="123"/>
      <c r="D169" s="123"/>
      <c r="E169" s="119" t="s">
        <v>286</v>
      </c>
      <c r="F169" s="120"/>
      <c r="G169" s="133" t="n">
        <v>2</v>
      </c>
      <c r="H169" s="122"/>
      <c r="I169" s="123" t="s">
        <v>13</v>
      </c>
    </row>
    <row r="170" customFormat="false" ht="12.75" hidden="false" customHeight="false" outlineLevel="0" collapsed="false">
      <c r="B170" s="123" t="s">
        <v>357</v>
      </c>
      <c r="C170" s="123"/>
      <c r="D170" s="123"/>
      <c r="E170" s="119" t="s">
        <v>358</v>
      </c>
      <c r="F170" s="120"/>
      <c r="G170" s="133" t="n">
        <v>1</v>
      </c>
      <c r="H170" s="122"/>
      <c r="I170" s="123" t="s">
        <v>13</v>
      </c>
    </row>
    <row r="171" customFormat="false" ht="12.75" hidden="false" customHeight="false" outlineLevel="0" collapsed="false">
      <c r="B171" s="116" t="s">
        <v>359</v>
      </c>
      <c r="C171" s="117"/>
      <c r="D171" s="118"/>
      <c r="E171" s="119" t="s">
        <v>358</v>
      </c>
      <c r="F171" s="120"/>
      <c r="G171" s="133" t="n">
        <v>1</v>
      </c>
      <c r="H171" s="122"/>
      <c r="I171" s="123" t="s">
        <v>13</v>
      </c>
    </row>
    <row r="172" customFormat="false" ht="12.75" hidden="false" customHeight="false" outlineLevel="0" collapsed="false">
      <c r="B172" s="116" t="s">
        <v>360</v>
      </c>
      <c r="C172" s="117"/>
      <c r="D172" s="118"/>
      <c r="E172" s="119" t="s">
        <v>358</v>
      </c>
      <c r="F172" s="120"/>
      <c r="G172" s="133" t="s">
        <v>361</v>
      </c>
      <c r="H172" s="122"/>
      <c r="I172" s="123" t="s">
        <v>13</v>
      </c>
    </row>
    <row r="173" customFormat="false" ht="12.75" hidden="false" customHeight="false" outlineLevel="0" collapsed="false">
      <c r="B173" s="116" t="s">
        <v>362</v>
      </c>
      <c r="C173" s="117"/>
      <c r="D173" s="118"/>
      <c r="E173" s="119" t="s">
        <v>358</v>
      </c>
      <c r="F173" s="120"/>
      <c r="G173" s="133" t="n">
        <v>1</v>
      </c>
      <c r="H173" s="122"/>
      <c r="I173" s="123" t="s">
        <v>13</v>
      </c>
    </row>
    <row r="174" customFormat="false" ht="12.75" hidden="false" customHeight="false" outlineLevel="0" collapsed="false">
      <c r="B174" s="116" t="s">
        <v>363</v>
      </c>
      <c r="C174" s="117"/>
      <c r="D174" s="118"/>
      <c r="E174" s="119"/>
      <c r="F174" s="120"/>
      <c r="G174" s="133" t="s">
        <v>361</v>
      </c>
      <c r="H174" s="122"/>
      <c r="I174" s="123" t="s">
        <v>13</v>
      </c>
    </row>
    <row r="175" customFormat="false" ht="12.75" hidden="false" customHeight="false" outlineLevel="0" collapsed="false">
      <c r="B175" s="116" t="s">
        <v>364</v>
      </c>
      <c r="C175" s="117"/>
      <c r="D175" s="118"/>
      <c r="E175" s="119"/>
      <c r="F175" s="120"/>
      <c r="G175" s="133" t="n">
        <v>2</v>
      </c>
      <c r="H175" s="122"/>
      <c r="I175" s="123" t="s">
        <v>307</v>
      </c>
    </row>
    <row r="176" customFormat="false" ht="12.75" hidden="false" customHeight="false" outlineLevel="0" collapsed="false">
      <c r="B176" s="116" t="s">
        <v>365</v>
      </c>
      <c r="C176" s="117"/>
      <c r="D176" s="118"/>
      <c r="E176" s="119"/>
      <c r="F176" s="120"/>
      <c r="G176" s="133" t="n">
        <v>2</v>
      </c>
      <c r="H176" s="122"/>
      <c r="I176" s="123" t="s">
        <v>307</v>
      </c>
    </row>
    <row r="177" customFormat="false" ht="12.75" hidden="false" customHeight="false" outlineLevel="0" collapsed="false">
      <c r="B177" s="116" t="s">
        <v>366</v>
      </c>
      <c r="C177" s="117"/>
      <c r="D177" s="118"/>
      <c r="E177" s="119"/>
      <c r="F177" s="120"/>
      <c r="G177" s="133" t="n">
        <v>2</v>
      </c>
      <c r="H177" s="122"/>
      <c r="I177" s="123" t="s">
        <v>307</v>
      </c>
    </row>
    <row r="178" customFormat="false" ht="12.75" hidden="false" customHeight="false" outlineLevel="0" collapsed="false">
      <c r="B178" s="116" t="s">
        <v>367</v>
      </c>
      <c r="C178" s="117"/>
      <c r="D178" s="118"/>
      <c r="E178" s="119"/>
      <c r="F178" s="120"/>
      <c r="G178" s="133" t="n">
        <v>2</v>
      </c>
      <c r="H178" s="122"/>
      <c r="I178" s="123" t="s">
        <v>307</v>
      </c>
    </row>
    <row r="179" customFormat="false" ht="12.75" hidden="false" customHeight="false" outlineLevel="0" collapsed="false">
      <c r="B179" s="116" t="s">
        <v>368</v>
      </c>
      <c r="C179" s="117"/>
      <c r="D179" s="118"/>
      <c r="E179" s="119"/>
      <c r="F179" s="120"/>
      <c r="G179" s="133" t="n">
        <v>2</v>
      </c>
      <c r="H179" s="122"/>
      <c r="I179" s="123" t="s">
        <v>307</v>
      </c>
    </row>
    <row r="180" customFormat="false" ht="12.75" hidden="false" customHeight="false" outlineLevel="0" collapsed="false">
      <c r="B180" s="116" t="s">
        <v>369</v>
      </c>
      <c r="C180" s="117"/>
      <c r="D180" s="118"/>
      <c r="E180" s="119"/>
      <c r="F180" s="120"/>
      <c r="G180" s="133" t="n">
        <v>2</v>
      </c>
      <c r="H180" s="122"/>
      <c r="I180" s="123" t="s">
        <v>11</v>
      </c>
    </row>
    <row r="181" customFormat="false" ht="12.75" hidden="false" customHeight="false" outlineLevel="0" collapsed="false">
      <c r="B181" s="116" t="s">
        <v>370</v>
      </c>
      <c r="C181" s="117"/>
      <c r="D181" s="118"/>
      <c r="E181" s="119" t="s">
        <v>371</v>
      </c>
      <c r="F181" s="120"/>
      <c r="G181" s="133" t="n">
        <v>3</v>
      </c>
      <c r="H181" s="122"/>
      <c r="I181" s="123" t="s">
        <v>11</v>
      </c>
    </row>
    <row r="182" customFormat="false" ht="12.75" hidden="false" customHeight="false" outlineLevel="0" collapsed="false">
      <c r="B182" s="116" t="s">
        <v>372</v>
      </c>
      <c r="C182" s="117"/>
      <c r="D182" s="118"/>
      <c r="E182" s="119" t="s">
        <v>371</v>
      </c>
      <c r="F182" s="120"/>
      <c r="G182" s="133" t="n">
        <v>3</v>
      </c>
      <c r="H182" s="122"/>
      <c r="I182" s="123" t="s">
        <v>11</v>
      </c>
    </row>
    <row r="183" customFormat="false" ht="12.75" hidden="false" customHeight="false" outlineLevel="0" collapsed="false">
      <c r="B183" s="116" t="s">
        <v>373</v>
      </c>
      <c r="C183" s="117"/>
      <c r="D183" s="118"/>
      <c r="E183" s="119" t="s">
        <v>371</v>
      </c>
      <c r="F183" s="120"/>
      <c r="G183" s="133" t="n">
        <v>1</v>
      </c>
      <c r="H183" s="122"/>
      <c r="I183" s="123" t="s">
        <v>11</v>
      </c>
    </row>
    <row r="184" customFormat="false" ht="12.75" hidden="false" customHeight="false" outlineLevel="0" collapsed="false">
      <c r="B184" s="116" t="s">
        <v>374</v>
      </c>
      <c r="C184" s="117"/>
      <c r="D184" s="118"/>
      <c r="E184" s="119" t="s">
        <v>371</v>
      </c>
      <c r="F184" s="120"/>
      <c r="G184" s="133" t="n">
        <v>1</v>
      </c>
      <c r="H184" s="122"/>
      <c r="I184" s="123" t="s">
        <v>11</v>
      </c>
    </row>
    <row r="185" customFormat="false" ht="12.75" hidden="false" customHeight="false" outlineLevel="0" collapsed="false">
      <c r="B185" s="116" t="s">
        <v>375</v>
      </c>
      <c r="C185" s="117"/>
      <c r="D185" s="118"/>
      <c r="E185" s="119" t="s">
        <v>376</v>
      </c>
      <c r="F185" s="120"/>
      <c r="G185" s="133" t="n">
        <v>2</v>
      </c>
      <c r="H185" s="122"/>
      <c r="I185" s="123" t="s">
        <v>13</v>
      </c>
    </row>
    <row r="186" customFormat="false" ht="12.75" hidden="false" customHeight="false" outlineLevel="0" collapsed="false">
      <c r="B186" s="116" t="s">
        <v>377</v>
      </c>
      <c r="C186" s="117"/>
      <c r="D186" s="118"/>
      <c r="E186" s="119" t="s">
        <v>378</v>
      </c>
      <c r="F186" s="120"/>
      <c r="G186" s="133" t="n">
        <v>3</v>
      </c>
      <c r="H186" s="122"/>
      <c r="I186" s="123" t="s">
        <v>307</v>
      </c>
    </row>
    <row r="187" customFormat="false" ht="12.75" hidden="false" customHeight="false" outlineLevel="0" collapsed="false">
      <c r="B187" s="116" t="s">
        <v>379</v>
      </c>
      <c r="C187" s="117"/>
      <c r="D187" s="118"/>
      <c r="E187" s="119" t="s">
        <v>380</v>
      </c>
      <c r="F187" s="120"/>
      <c r="G187" s="133" t="n">
        <v>2</v>
      </c>
      <c r="H187" s="122"/>
      <c r="I187" s="123" t="s">
        <v>11</v>
      </c>
    </row>
    <row r="188" customFormat="false" ht="12.75" hidden="false" customHeight="false" outlineLevel="0" collapsed="false">
      <c r="B188" s="116" t="s">
        <v>381</v>
      </c>
      <c r="C188" s="117"/>
      <c r="D188" s="118"/>
      <c r="E188" s="119" t="s">
        <v>380</v>
      </c>
      <c r="F188" s="120"/>
      <c r="G188" s="133" t="n">
        <v>2</v>
      </c>
      <c r="H188" s="122"/>
      <c r="I188" s="123" t="s">
        <v>11</v>
      </c>
    </row>
    <row r="189" customFormat="false" ht="12.75" hidden="false" customHeight="false" outlineLevel="0" collapsed="false">
      <c r="B189" s="116" t="s">
        <v>382</v>
      </c>
      <c r="C189" s="117"/>
      <c r="D189" s="118"/>
      <c r="E189" s="119" t="s">
        <v>380</v>
      </c>
      <c r="F189" s="120"/>
      <c r="G189" s="133" t="n">
        <v>1</v>
      </c>
      <c r="H189" s="122"/>
      <c r="I189" s="123" t="s">
        <v>11</v>
      </c>
    </row>
    <row r="190" customFormat="false" ht="12.75" hidden="false" customHeight="false" outlineLevel="0" collapsed="false">
      <c r="B190" s="116" t="s">
        <v>383</v>
      </c>
      <c r="C190" s="117"/>
      <c r="D190" s="118"/>
      <c r="E190" s="119" t="s">
        <v>384</v>
      </c>
      <c r="F190" s="120"/>
      <c r="G190" s="133" t="n">
        <v>2</v>
      </c>
      <c r="H190" s="122"/>
      <c r="I190" s="123" t="s">
        <v>11</v>
      </c>
    </row>
    <row r="191" customFormat="false" ht="12.75" hidden="false" customHeight="false" outlineLevel="0" collapsed="false">
      <c r="B191" s="116" t="s">
        <v>385</v>
      </c>
      <c r="C191" s="117"/>
      <c r="D191" s="118"/>
      <c r="E191" s="119" t="s">
        <v>384</v>
      </c>
      <c r="F191" s="120"/>
      <c r="G191" s="133" t="n">
        <v>1</v>
      </c>
      <c r="H191" s="122"/>
      <c r="I191" s="123" t="s">
        <v>11</v>
      </c>
    </row>
    <row r="192" customFormat="false" ht="12.75" hidden="false" customHeight="false" outlineLevel="0" collapsed="false">
      <c r="B192" s="116" t="s">
        <v>386</v>
      </c>
      <c r="C192" s="117"/>
      <c r="D192" s="118"/>
      <c r="E192" s="119" t="s">
        <v>384</v>
      </c>
      <c r="F192" s="120"/>
      <c r="G192" s="133" t="n">
        <v>1</v>
      </c>
      <c r="H192" s="122"/>
      <c r="I192" s="123" t="s">
        <v>11</v>
      </c>
    </row>
    <row r="193" customFormat="false" ht="12.75" hidden="false" customHeight="false" outlineLevel="0" collapsed="false">
      <c r="B193" s="116"/>
      <c r="C193" s="117"/>
      <c r="D193" s="118"/>
      <c r="E193" s="119"/>
      <c r="F193" s="120"/>
      <c r="G193" s="133"/>
      <c r="H193" s="122"/>
      <c r="I193" s="123"/>
    </row>
    <row r="194" customFormat="false" ht="12.75" hidden="false" customHeight="false" outlineLevel="0" collapsed="false">
      <c r="B194" s="116"/>
      <c r="C194" s="117"/>
      <c r="D194" s="118"/>
      <c r="E194" s="119"/>
      <c r="F194" s="120"/>
      <c r="G194" s="133"/>
      <c r="H194" s="122"/>
      <c r="I194" s="123"/>
    </row>
    <row r="195" customFormat="false" ht="12.75" hidden="false" customHeight="false" outlineLevel="0" collapsed="false">
      <c r="B195" s="116"/>
      <c r="C195" s="117"/>
      <c r="D195" s="118"/>
      <c r="E195" s="119"/>
      <c r="F195" s="120"/>
      <c r="G195" s="133"/>
      <c r="H195" s="122"/>
      <c r="I195" s="123"/>
    </row>
    <row r="196" customFormat="false" ht="12.75" hidden="false" customHeight="false" outlineLevel="0" collapsed="false">
      <c r="B196" s="116"/>
      <c r="C196" s="117"/>
      <c r="D196" s="118"/>
      <c r="E196" s="119"/>
      <c r="F196" s="120"/>
      <c r="G196" s="133"/>
      <c r="H196" s="122"/>
      <c r="I196" s="123"/>
    </row>
    <row r="197" customFormat="false" ht="12.75" hidden="false" customHeight="false" outlineLevel="0" collapsed="false">
      <c r="B197" s="116"/>
      <c r="C197" s="117"/>
      <c r="D197" s="118"/>
      <c r="E197" s="119"/>
      <c r="F197" s="120"/>
      <c r="G197" s="133"/>
      <c r="H197" s="122"/>
      <c r="I197" s="123"/>
    </row>
    <row r="198" customFormat="false" ht="12.75" hidden="false" customHeight="false" outlineLevel="0" collapsed="false">
      <c r="B198" s="125"/>
      <c r="C198" s="125"/>
      <c r="D198" s="125"/>
      <c r="E198" s="119"/>
      <c r="F198" s="120"/>
      <c r="G198" s="133"/>
      <c r="H198" s="122"/>
      <c r="I198" s="123"/>
    </row>
    <row r="199" customFormat="false" ht="12.75" hidden="false" customHeight="false" outlineLevel="0" collapsed="false">
      <c r="B199" s="125"/>
      <c r="C199" s="125"/>
      <c r="D199" s="125"/>
      <c r="E199" s="119"/>
      <c r="F199" s="120"/>
      <c r="G199" s="133"/>
      <c r="H199" s="122"/>
      <c r="I199" s="123"/>
    </row>
    <row r="200" customFormat="false" ht="12.75" hidden="false" customHeight="true" outlineLevel="0" collapsed="false">
      <c r="B200" s="44" t="s">
        <v>387</v>
      </c>
      <c r="C200" s="44"/>
      <c r="D200" s="44"/>
      <c r="E200" s="45"/>
      <c r="F200" s="45"/>
      <c r="G200" s="45"/>
      <c r="H200" s="46"/>
      <c r="I200" s="131" t="s">
        <v>219</v>
      </c>
    </row>
    <row r="201" customFormat="false" ht="12.75" hidden="false" customHeight="false" outlineLevel="0" collapsed="false">
      <c r="B201" s="44"/>
      <c r="C201" s="44"/>
      <c r="D201" s="44"/>
      <c r="E201" s="49" t="s">
        <v>5</v>
      </c>
      <c r="F201" s="50" t="s">
        <v>6</v>
      </c>
      <c r="G201" s="51" t="s">
        <v>7</v>
      </c>
      <c r="H201" s="52"/>
      <c r="I201" s="131"/>
    </row>
    <row r="202" customFormat="false" ht="12.75" hidden="false" customHeight="false" outlineLevel="0" collapsed="false">
      <c r="B202" s="139" t="s">
        <v>388</v>
      </c>
      <c r="C202" s="139"/>
      <c r="D202" s="139"/>
      <c r="E202" s="119"/>
      <c r="F202" s="120"/>
      <c r="G202" s="133"/>
      <c r="H202" s="122"/>
      <c r="I202" s="123"/>
    </row>
    <row r="203" customFormat="false" ht="12.75" hidden="false" customHeight="false" outlineLevel="0" collapsed="false">
      <c r="B203" s="123" t="s">
        <v>389</v>
      </c>
      <c r="C203" s="123"/>
      <c r="D203" s="123"/>
      <c r="E203" s="119" t="s">
        <v>390</v>
      </c>
      <c r="F203" s="120"/>
      <c r="G203" s="133" t="s">
        <v>391</v>
      </c>
      <c r="H203" s="122"/>
      <c r="I203" s="123" t="s">
        <v>392</v>
      </c>
    </row>
    <row r="204" customFormat="false" ht="12.75" hidden="false" customHeight="false" outlineLevel="0" collapsed="false">
      <c r="B204" s="116" t="s">
        <v>393</v>
      </c>
      <c r="C204" s="117"/>
      <c r="D204" s="118"/>
      <c r="E204" s="119" t="s">
        <v>390</v>
      </c>
      <c r="F204" s="120"/>
      <c r="G204" s="133" t="s">
        <v>391</v>
      </c>
      <c r="H204" s="122"/>
      <c r="I204" s="123" t="s">
        <v>392</v>
      </c>
    </row>
    <row r="205" customFormat="false" ht="12.75" hidden="false" customHeight="false" outlineLevel="0" collapsed="false">
      <c r="B205" s="123" t="s">
        <v>394</v>
      </c>
      <c r="C205" s="123"/>
      <c r="D205" s="123"/>
      <c r="E205" s="119" t="s">
        <v>390</v>
      </c>
      <c r="F205" s="120"/>
      <c r="G205" s="133" t="s">
        <v>391</v>
      </c>
      <c r="H205" s="122"/>
      <c r="I205" s="123" t="s">
        <v>395</v>
      </c>
    </row>
    <row r="206" customFormat="false" ht="12.75" hidden="false" customHeight="false" outlineLevel="0" collapsed="false">
      <c r="B206" s="116" t="s">
        <v>396</v>
      </c>
      <c r="C206" s="117"/>
      <c r="D206" s="118"/>
      <c r="E206" s="119" t="s">
        <v>390</v>
      </c>
      <c r="F206" s="120"/>
      <c r="G206" s="133" t="s">
        <v>391</v>
      </c>
      <c r="H206" s="122"/>
      <c r="I206" s="123" t="s">
        <v>392</v>
      </c>
    </row>
    <row r="207" customFormat="false" ht="12.75" hidden="false" customHeight="false" outlineLevel="0" collapsed="false">
      <c r="B207" s="116" t="s">
        <v>397</v>
      </c>
      <c r="C207" s="117"/>
      <c r="D207" s="118"/>
      <c r="E207" s="119" t="s">
        <v>390</v>
      </c>
      <c r="F207" s="120"/>
      <c r="G207" s="133" t="s">
        <v>391</v>
      </c>
      <c r="H207" s="122"/>
      <c r="I207" s="123" t="s">
        <v>392</v>
      </c>
    </row>
    <row r="208" customFormat="false" ht="12.75" hidden="false" customHeight="false" outlineLevel="0" collapsed="false">
      <c r="B208" s="116"/>
      <c r="C208" s="117"/>
      <c r="D208" s="118"/>
      <c r="E208" s="119"/>
      <c r="F208" s="120"/>
      <c r="G208" s="133"/>
      <c r="H208" s="122"/>
      <c r="I208" s="123"/>
    </row>
    <row r="209" customFormat="false" ht="12.75" hidden="false" customHeight="false" outlineLevel="0" collapsed="false">
      <c r="B209" s="116" t="s">
        <v>398</v>
      </c>
      <c r="C209" s="117"/>
      <c r="D209" s="118"/>
      <c r="E209" s="119"/>
      <c r="F209" s="120"/>
      <c r="G209" s="133"/>
      <c r="H209" s="122"/>
      <c r="I209" s="123"/>
    </row>
    <row r="210" customFormat="false" ht="12.75" hidden="false" customHeight="false" outlineLevel="0" collapsed="false">
      <c r="B210" s="116" t="s">
        <v>399</v>
      </c>
      <c r="C210" s="117"/>
      <c r="D210" s="118"/>
      <c r="E210" s="119" t="s">
        <v>400</v>
      </c>
      <c r="F210" s="120"/>
      <c r="G210" s="133" t="s">
        <v>286</v>
      </c>
      <c r="H210" s="122"/>
      <c r="I210" s="123" t="s">
        <v>395</v>
      </c>
    </row>
    <row r="211" customFormat="false" ht="12.75" hidden="false" customHeight="false" outlineLevel="0" collapsed="false">
      <c r="B211" s="116" t="s">
        <v>401</v>
      </c>
      <c r="C211" s="117"/>
      <c r="D211" s="118"/>
      <c r="E211" s="119"/>
      <c r="F211" s="120"/>
      <c r="G211" s="133" t="s">
        <v>402</v>
      </c>
      <c r="H211" s="122"/>
      <c r="I211" s="123" t="s">
        <v>392</v>
      </c>
    </row>
    <row r="212" customFormat="false" ht="12.75" hidden="false" customHeight="false" outlineLevel="0" collapsed="false">
      <c r="B212" s="116" t="s">
        <v>403</v>
      </c>
      <c r="C212" s="117"/>
      <c r="D212" s="118"/>
      <c r="E212" s="119"/>
      <c r="F212" s="120"/>
      <c r="G212" s="133" t="s">
        <v>402</v>
      </c>
      <c r="H212" s="122"/>
      <c r="I212" s="123" t="s">
        <v>395</v>
      </c>
    </row>
    <row r="213" customFormat="false" ht="12.75" hidden="false" customHeight="false" outlineLevel="0" collapsed="false">
      <c r="B213" s="116" t="s">
        <v>404</v>
      </c>
      <c r="C213" s="117"/>
      <c r="D213" s="118"/>
      <c r="E213" s="119" t="s">
        <v>400</v>
      </c>
      <c r="F213" s="120"/>
      <c r="G213" s="133" t="s">
        <v>405</v>
      </c>
      <c r="H213" s="122"/>
      <c r="I213" s="123" t="s">
        <v>395</v>
      </c>
    </row>
    <row r="214" customFormat="false" ht="12.75" hidden="false" customHeight="false" outlineLevel="0" collapsed="false">
      <c r="B214" s="116"/>
      <c r="C214" s="117"/>
      <c r="D214" s="118"/>
      <c r="E214" s="119"/>
      <c r="F214" s="120"/>
      <c r="G214" s="133"/>
      <c r="H214" s="122"/>
      <c r="I214" s="123"/>
    </row>
    <row r="215" customFormat="false" ht="12.75" hidden="false" customHeight="false" outlineLevel="0" collapsed="false">
      <c r="B215" s="123" t="s">
        <v>406</v>
      </c>
      <c r="C215" s="123"/>
      <c r="D215" s="123"/>
      <c r="E215" s="119"/>
      <c r="F215" s="120"/>
      <c r="G215" s="133"/>
      <c r="H215" s="122"/>
      <c r="I215" s="123"/>
    </row>
    <row r="216" customFormat="false" ht="12.75" hidden="false" customHeight="false" outlineLevel="0" collapsed="false">
      <c r="B216" s="123" t="s">
        <v>407</v>
      </c>
      <c r="C216" s="123"/>
      <c r="D216" s="123"/>
      <c r="E216" s="119" t="s">
        <v>390</v>
      </c>
      <c r="F216" s="120"/>
      <c r="G216" s="133" t="s">
        <v>408</v>
      </c>
      <c r="H216" s="122"/>
      <c r="I216" s="123" t="s">
        <v>395</v>
      </c>
    </row>
    <row r="217" customFormat="false" ht="12.75" hidden="false" customHeight="false" outlineLevel="0" collapsed="false">
      <c r="B217" s="123" t="s">
        <v>409</v>
      </c>
      <c r="C217" s="123"/>
      <c r="D217" s="123"/>
      <c r="E217" s="119" t="s">
        <v>390</v>
      </c>
      <c r="F217" s="120"/>
      <c r="G217" s="133" t="s">
        <v>391</v>
      </c>
      <c r="H217" s="122"/>
      <c r="I217" s="123" t="s">
        <v>392</v>
      </c>
    </row>
    <row r="218" customFormat="false" ht="12.75" hidden="false" customHeight="false" outlineLevel="0" collapsed="false">
      <c r="B218" s="123" t="s">
        <v>410</v>
      </c>
      <c r="C218" s="123"/>
      <c r="D218" s="123"/>
      <c r="E218" s="119" t="s">
        <v>390</v>
      </c>
      <c r="F218" s="120"/>
      <c r="G218" s="133" t="s">
        <v>408</v>
      </c>
      <c r="H218" s="122"/>
      <c r="I218" s="123" t="s">
        <v>395</v>
      </c>
    </row>
    <row r="219" customFormat="false" ht="12.75" hidden="false" customHeight="false" outlineLevel="0" collapsed="false">
      <c r="B219" s="123" t="s">
        <v>411</v>
      </c>
      <c r="C219" s="123"/>
      <c r="D219" s="123"/>
      <c r="E219" s="119" t="s">
        <v>390</v>
      </c>
      <c r="F219" s="120"/>
      <c r="G219" s="133" t="s">
        <v>391</v>
      </c>
      <c r="H219" s="122"/>
      <c r="I219" s="123" t="s">
        <v>392</v>
      </c>
    </row>
    <row r="220" customFormat="false" ht="12.75" hidden="false" customHeight="false" outlineLevel="0" collapsed="false">
      <c r="B220" s="123" t="s">
        <v>412</v>
      </c>
      <c r="C220" s="123"/>
      <c r="D220" s="123"/>
      <c r="E220" s="119" t="s">
        <v>390</v>
      </c>
      <c r="F220" s="120"/>
      <c r="G220" s="133" t="s">
        <v>408</v>
      </c>
      <c r="H220" s="122"/>
      <c r="I220" s="123" t="s">
        <v>395</v>
      </c>
    </row>
    <row r="221" customFormat="false" ht="12.75" hidden="false" customHeight="false" outlineLevel="0" collapsed="false">
      <c r="B221" s="123" t="s">
        <v>413</v>
      </c>
      <c r="C221" s="123"/>
      <c r="D221" s="123"/>
      <c r="E221" s="119" t="s">
        <v>390</v>
      </c>
      <c r="F221" s="120"/>
      <c r="G221" s="133" t="s">
        <v>402</v>
      </c>
      <c r="H221" s="122"/>
      <c r="I221" s="123" t="s">
        <v>395</v>
      </c>
    </row>
    <row r="222" s="1" customFormat="true" ht="12.75" hidden="false" customHeight="false" outlineLevel="0" collapsed="false">
      <c r="B222" s="116"/>
      <c r="C222" s="117"/>
      <c r="D222" s="118"/>
      <c r="E222" s="119"/>
      <c r="F222" s="120"/>
      <c r="G222" s="133"/>
      <c r="H222" s="122"/>
      <c r="I222" s="123"/>
      <c r="W222" s="108"/>
    </row>
    <row r="223" s="1" customFormat="true" ht="12.75" hidden="false" customHeight="false" outlineLevel="0" collapsed="false">
      <c r="B223" s="116"/>
      <c r="C223" s="117"/>
      <c r="D223" s="118"/>
      <c r="E223" s="119"/>
      <c r="F223" s="120"/>
      <c r="G223" s="133"/>
      <c r="H223" s="122"/>
      <c r="I223" s="123"/>
      <c r="W223" s="108"/>
    </row>
    <row r="224" s="1" customFormat="true" ht="12.75" hidden="false" customHeight="false" outlineLevel="0" collapsed="false">
      <c r="B224" s="116"/>
      <c r="C224" s="117"/>
      <c r="D224" s="118"/>
      <c r="E224" s="119"/>
      <c r="F224" s="120"/>
      <c r="G224" s="133"/>
      <c r="H224" s="122"/>
      <c r="I224" s="123"/>
      <c r="W224" s="108"/>
    </row>
    <row r="225" s="1" customFormat="true" ht="12.75" hidden="false" customHeight="false" outlineLevel="0" collapsed="false">
      <c r="B225" s="116"/>
      <c r="C225" s="117"/>
      <c r="D225" s="118"/>
      <c r="E225" s="119"/>
      <c r="F225" s="120"/>
      <c r="G225" s="133"/>
      <c r="H225" s="122"/>
      <c r="I225" s="123"/>
      <c r="W225" s="108"/>
    </row>
    <row r="226" s="1" customFormat="true" ht="12.75" hidden="false" customHeight="false" outlineLevel="0" collapsed="false">
      <c r="B226" s="116"/>
      <c r="C226" s="117"/>
      <c r="D226" s="118"/>
      <c r="E226" s="119"/>
      <c r="F226" s="120"/>
      <c r="G226" s="133"/>
      <c r="H226" s="122"/>
      <c r="I226" s="123"/>
      <c r="W226" s="108"/>
    </row>
    <row r="227" s="1" customFormat="true" ht="12.75" hidden="false" customHeight="false" outlineLevel="0" collapsed="false">
      <c r="B227" s="116"/>
      <c r="C227" s="117"/>
      <c r="D227" s="118"/>
      <c r="E227" s="119"/>
      <c r="F227" s="120"/>
      <c r="G227" s="133"/>
      <c r="H227" s="122"/>
      <c r="I227" s="123"/>
      <c r="W227" s="108"/>
    </row>
    <row r="228" s="1" customFormat="true" ht="12.75" hidden="false" customHeight="false" outlineLevel="0" collapsed="false">
      <c r="B228" s="116"/>
      <c r="C228" s="117"/>
      <c r="D228" s="118"/>
      <c r="E228" s="119"/>
      <c r="F228" s="120"/>
      <c r="G228" s="133"/>
      <c r="H228" s="122"/>
      <c r="I228" s="123"/>
      <c r="W228" s="108"/>
    </row>
    <row r="229" s="1" customFormat="true" ht="12.75" hidden="false" customHeight="false" outlineLevel="0" collapsed="false">
      <c r="B229" s="116"/>
      <c r="C229" s="117"/>
      <c r="D229" s="118"/>
      <c r="E229" s="119"/>
      <c r="F229" s="120"/>
      <c r="G229" s="133"/>
      <c r="H229" s="122"/>
      <c r="I229" s="123"/>
      <c r="W229" s="108"/>
    </row>
    <row r="230" s="1" customFormat="true" ht="12.75" hidden="false" customHeight="false" outlineLevel="0" collapsed="false">
      <c r="B230" s="116"/>
      <c r="C230" s="117"/>
      <c r="D230" s="118"/>
      <c r="E230" s="119"/>
      <c r="F230" s="120"/>
      <c r="G230" s="133"/>
      <c r="H230" s="122"/>
      <c r="I230" s="123"/>
      <c r="W230" s="108"/>
    </row>
    <row r="231" s="1" customFormat="true" ht="12.75" hidden="false" customHeight="false" outlineLevel="0" collapsed="false">
      <c r="B231" s="116"/>
      <c r="C231" s="117"/>
      <c r="D231" s="118"/>
      <c r="E231" s="119"/>
      <c r="F231" s="120"/>
      <c r="G231" s="133"/>
      <c r="H231" s="122"/>
      <c r="I231" s="123"/>
      <c r="W231" s="108"/>
    </row>
    <row r="232" s="1" customFormat="true" ht="12.75" hidden="false" customHeight="false" outlineLevel="0" collapsed="false">
      <c r="B232" s="116"/>
      <c r="C232" s="117"/>
      <c r="D232" s="118"/>
      <c r="E232" s="119"/>
      <c r="F232" s="120"/>
      <c r="G232" s="133"/>
      <c r="H232" s="122"/>
      <c r="I232" s="123"/>
      <c r="W232" s="108"/>
    </row>
    <row r="233" s="1" customFormat="true" ht="12.75" hidden="false" customHeight="false" outlineLevel="0" collapsed="false">
      <c r="B233" s="116"/>
      <c r="C233" s="117"/>
      <c r="D233" s="118"/>
      <c r="E233" s="119"/>
      <c r="F233" s="120"/>
      <c r="G233" s="133"/>
      <c r="H233" s="122"/>
      <c r="I233" s="123"/>
      <c r="W233" s="108"/>
    </row>
    <row r="234" s="1" customFormat="true" ht="12.75" hidden="false" customHeight="false" outlineLevel="0" collapsed="false">
      <c r="B234" s="116"/>
      <c r="C234" s="117"/>
      <c r="D234" s="118"/>
      <c r="E234" s="119"/>
      <c r="F234" s="120"/>
      <c r="G234" s="133"/>
      <c r="H234" s="122"/>
      <c r="I234" s="123"/>
      <c r="W234" s="108"/>
    </row>
    <row r="235" s="1" customFormat="true" ht="12.75" hidden="false" customHeight="false" outlineLevel="0" collapsed="false">
      <c r="B235" s="125"/>
      <c r="C235" s="125"/>
      <c r="D235" s="125"/>
      <c r="E235" s="119"/>
      <c r="F235" s="120"/>
      <c r="G235" s="133"/>
      <c r="H235" s="122"/>
      <c r="I235" s="123"/>
      <c r="W235" s="108"/>
    </row>
    <row r="236" s="1" customFormat="true" ht="12.75" hidden="false" customHeight="false" outlineLevel="0" collapsed="false">
      <c r="B236" s="125"/>
      <c r="C236" s="125"/>
      <c r="D236" s="125"/>
      <c r="E236" s="119"/>
      <c r="F236" s="120"/>
      <c r="G236" s="133"/>
      <c r="H236" s="122"/>
      <c r="I236" s="123"/>
      <c r="W236" s="108"/>
    </row>
    <row r="237" s="1" customFormat="true" ht="12.75" hidden="false" customHeight="false" outlineLevel="0" collapsed="false">
      <c r="E237" s="2"/>
      <c r="F237" s="4"/>
      <c r="G237" s="109"/>
      <c r="H237" s="6"/>
      <c r="I237" s="110"/>
      <c r="W237" s="108"/>
    </row>
    <row r="238" s="1" customFormat="true" ht="12.75" hidden="false" customHeight="false" outlineLevel="0" collapsed="false">
      <c r="E238" s="2"/>
      <c r="F238" s="4"/>
      <c r="G238" s="109"/>
      <c r="H238" s="6"/>
      <c r="I238" s="110"/>
      <c r="W238" s="108"/>
    </row>
    <row r="239" s="1" customFormat="true" ht="12.75" hidden="false" customHeight="false" outlineLevel="0" collapsed="false">
      <c r="E239" s="2"/>
      <c r="F239" s="4"/>
      <c r="G239" s="109"/>
      <c r="H239" s="6"/>
      <c r="I239" s="110"/>
      <c r="W239" s="108"/>
    </row>
    <row r="240" s="1" customFormat="true" ht="12.75" hidden="false" customHeight="false" outlineLevel="0" collapsed="false">
      <c r="E240" s="2"/>
      <c r="F240" s="4"/>
      <c r="G240" s="109"/>
      <c r="H240" s="6"/>
      <c r="I240" s="110"/>
      <c r="W240" s="108"/>
    </row>
    <row r="241" s="1" customFormat="true" ht="12.75" hidden="false" customHeight="false" outlineLevel="0" collapsed="false">
      <c r="E241" s="2"/>
      <c r="F241" s="4"/>
      <c r="G241" s="109"/>
      <c r="H241" s="6"/>
      <c r="I241" s="110"/>
      <c r="W241" s="108"/>
    </row>
    <row r="242" s="1" customFormat="true" ht="12.75" hidden="false" customHeight="false" outlineLevel="0" collapsed="false">
      <c r="E242" s="2"/>
      <c r="F242" s="4"/>
      <c r="G242" s="109"/>
      <c r="H242" s="6"/>
      <c r="I242" s="110"/>
      <c r="W242" s="108"/>
    </row>
    <row r="243" s="1" customFormat="true" ht="12.75" hidden="false" customHeight="false" outlineLevel="0" collapsed="false">
      <c r="E243" s="2"/>
      <c r="F243" s="4"/>
      <c r="G243" s="109"/>
      <c r="H243" s="6"/>
      <c r="I243" s="110"/>
      <c r="W243" s="108"/>
    </row>
    <row r="244" s="1" customFormat="true" ht="12.75" hidden="false" customHeight="false" outlineLevel="0" collapsed="false">
      <c r="E244" s="2"/>
      <c r="F244" s="4"/>
      <c r="G244" s="109"/>
      <c r="H244" s="6"/>
      <c r="I244" s="110"/>
      <c r="W244" s="108"/>
    </row>
    <row r="245" s="1" customFormat="true" ht="12.75" hidden="false" customHeight="false" outlineLevel="0" collapsed="false">
      <c r="E245" s="2"/>
      <c r="F245" s="4"/>
      <c r="G245" s="109"/>
      <c r="H245" s="6"/>
      <c r="I245" s="110"/>
      <c r="W245" s="108"/>
    </row>
    <row r="246" s="1" customFormat="true" ht="12.75" hidden="false" customHeight="false" outlineLevel="0" collapsed="false">
      <c r="E246" s="2"/>
      <c r="F246" s="4"/>
      <c r="G246" s="109"/>
      <c r="H246" s="6"/>
      <c r="I246" s="110"/>
      <c r="W246" s="108"/>
    </row>
    <row r="247" s="1" customFormat="true" ht="12.75" hidden="false" customHeight="false" outlineLevel="0" collapsed="false">
      <c r="E247" s="2"/>
      <c r="F247" s="4"/>
      <c r="G247" s="109"/>
      <c r="H247" s="6"/>
      <c r="I247" s="110"/>
      <c r="W247" s="108"/>
    </row>
    <row r="248" s="1" customFormat="true" ht="12.75" hidden="false" customHeight="false" outlineLevel="0" collapsed="false">
      <c r="E248" s="2"/>
      <c r="F248" s="4"/>
      <c r="G248" s="109"/>
      <c r="H248" s="6"/>
      <c r="I248" s="110"/>
      <c r="W248" s="108"/>
    </row>
    <row r="249" s="1" customFormat="true" ht="12.75" hidden="false" customHeight="false" outlineLevel="0" collapsed="false">
      <c r="E249" s="2"/>
      <c r="F249" s="4"/>
      <c r="G249" s="109"/>
      <c r="H249" s="6"/>
      <c r="I249" s="110"/>
      <c r="W249" s="108"/>
    </row>
    <row r="250" s="1" customFormat="true" ht="12.75" hidden="false" customHeight="false" outlineLevel="0" collapsed="false">
      <c r="E250" s="2"/>
      <c r="F250" s="4"/>
      <c r="G250" s="109"/>
      <c r="H250" s="6"/>
      <c r="I250" s="110"/>
      <c r="W250" s="108"/>
    </row>
    <row r="251" s="1" customFormat="true" ht="12.75" hidden="false" customHeight="false" outlineLevel="0" collapsed="false">
      <c r="E251" s="2"/>
      <c r="F251" s="4"/>
      <c r="G251" s="109"/>
      <c r="H251" s="6"/>
      <c r="I251" s="110"/>
      <c r="W251" s="108"/>
    </row>
    <row r="252" s="1" customFormat="true" ht="12.75" hidden="false" customHeight="false" outlineLevel="0" collapsed="false">
      <c r="E252" s="2"/>
      <c r="F252" s="4"/>
      <c r="G252" s="109"/>
      <c r="H252" s="6"/>
      <c r="I252" s="110"/>
      <c r="W252" s="108"/>
    </row>
    <row r="253" s="1" customFormat="true" ht="12.75" hidden="false" customHeight="false" outlineLevel="0" collapsed="false">
      <c r="E253" s="2"/>
      <c r="F253" s="4"/>
      <c r="G253" s="109"/>
      <c r="H253" s="6"/>
      <c r="I253" s="110"/>
      <c r="W253" s="108"/>
    </row>
    <row r="254" s="1" customFormat="true" ht="12.75" hidden="false" customHeight="false" outlineLevel="0" collapsed="false">
      <c r="E254" s="2"/>
      <c r="F254" s="4"/>
      <c r="G254" s="109"/>
      <c r="H254" s="6"/>
      <c r="I254" s="110"/>
      <c r="W254" s="108"/>
    </row>
    <row r="255" s="1" customFormat="true" ht="12.75" hidden="false" customHeight="false" outlineLevel="0" collapsed="false">
      <c r="E255" s="2"/>
      <c r="F255" s="4"/>
      <c r="G255" s="109"/>
      <c r="H255" s="6"/>
      <c r="I255" s="110"/>
      <c r="W255" s="108"/>
    </row>
    <row r="256" s="1" customFormat="true" ht="12.75" hidden="false" customHeight="false" outlineLevel="0" collapsed="false">
      <c r="E256" s="2"/>
      <c r="F256" s="4"/>
      <c r="G256" s="109"/>
      <c r="H256" s="6"/>
      <c r="I256" s="110"/>
      <c r="W256" s="108"/>
    </row>
    <row r="257" s="1" customFormat="true" ht="12.75" hidden="false" customHeight="false" outlineLevel="0" collapsed="false">
      <c r="E257" s="2"/>
      <c r="F257" s="4"/>
      <c r="G257" s="109"/>
      <c r="H257" s="6"/>
      <c r="I257" s="110"/>
      <c r="W257" s="108"/>
    </row>
    <row r="258" s="1" customFormat="true" ht="12.75" hidden="false" customHeight="false" outlineLevel="0" collapsed="false">
      <c r="E258" s="2"/>
      <c r="F258" s="4"/>
      <c r="G258" s="109"/>
      <c r="H258" s="6"/>
      <c r="I258" s="110"/>
      <c r="W258" s="108"/>
    </row>
    <row r="259" s="1" customFormat="true" ht="12.75" hidden="false" customHeight="false" outlineLevel="0" collapsed="false">
      <c r="E259" s="2"/>
      <c r="F259" s="4"/>
      <c r="G259" s="109"/>
      <c r="H259" s="6"/>
      <c r="I259" s="110"/>
      <c r="W259" s="108"/>
    </row>
    <row r="260" s="1" customFormat="true" ht="12.75" hidden="false" customHeight="false" outlineLevel="0" collapsed="false">
      <c r="E260" s="2"/>
      <c r="F260" s="4"/>
      <c r="G260" s="109"/>
      <c r="H260" s="6"/>
      <c r="I260" s="110"/>
      <c r="W260" s="108"/>
    </row>
    <row r="261" s="1" customFormat="true" ht="12.75" hidden="false" customHeight="false" outlineLevel="0" collapsed="false">
      <c r="E261" s="2"/>
      <c r="F261" s="4"/>
      <c r="G261" s="109"/>
      <c r="H261" s="6"/>
      <c r="I261" s="110"/>
      <c r="W261" s="108"/>
    </row>
    <row r="262" s="1" customFormat="true" ht="12.75" hidden="false" customHeight="false" outlineLevel="0" collapsed="false">
      <c r="E262" s="2"/>
      <c r="F262" s="4"/>
      <c r="G262" s="109"/>
      <c r="H262" s="6"/>
      <c r="I262" s="110"/>
      <c r="W262" s="108"/>
    </row>
    <row r="263" s="1" customFormat="true" ht="12.75" hidden="false" customHeight="false" outlineLevel="0" collapsed="false">
      <c r="E263" s="2"/>
      <c r="F263" s="4"/>
      <c r="G263" s="109"/>
      <c r="H263" s="6"/>
      <c r="I263" s="110"/>
      <c r="W263" s="108"/>
    </row>
    <row r="264" s="1" customFormat="true" ht="12.75" hidden="false" customHeight="false" outlineLevel="0" collapsed="false">
      <c r="E264" s="2"/>
      <c r="F264" s="4"/>
      <c r="G264" s="109"/>
      <c r="H264" s="6"/>
      <c r="I264" s="110"/>
      <c r="W264" s="108"/>
    </row>
    <row r="265" s="1" customFormat="true" ht="12.75" hidden="false" customHeight="false" outlineLevel="0" collapsed="false">
      <c r="E265" s="2"/>
      <c r="F265" s="4"/>
      <c r="G265" s="109"/>
      <c r="H265" s="6"/>
      <c r="I265" s="110"/>
      <c r="W265" s="108"/>
    </row>
    <row r="266" s="1" customFormat="true" ht="12.75" hidden="false" customHeight="false" outlineLevel="0" collapsed="false">
      <c r="E266" s="2"/>
      <c r="F266" s="4"/>
      <c r="G266" s="109"/>
      <c r="H266" s="6"/>
      <c r="I266" s="110"/>
      <c r="W266" s="108"/>
    </row>
    <row r="267" s="1" customFormat="true" ht="12.75" hidden="false" customHeight="false" outlineLevel="0" collapsed="false">
      <c r="E267" s="2"/>
      <c r="F267" s="4"/>
      <c r="G267" s="109"/>
      <c r="H267" s="6"/>
      <c r="I267" s="110"/>
      <c r="W267" s="108"/>
    </row>
    <row r="268" s="1" customFormat="true" ht="12.75" hidden="false" customHeight="false" outlineLevel="0" collapsed="false">
      <c r="E268" s="2"/>
      <c r="F268" s="4"/>
      <c r="G268" s="109"/>
      <c r="H268" s="6"/>
      <c r="I268" s="110"/>
      <c r="W268" s="108"/>
    </row>
    <row r="269" s="1" customFormat="true" ht="12.75" hidden="false" customHeight="false" outlineLevel="0" collapsed="false">
      <c r="E269" s="2"/>
      <c r="F269" s="4"/>
      <c r="G269" s="109"/>
      <c r="H269" s="6"/>
      <c r="I269" s="110"/>
      <c r="W269" s="108"/>
    </row>
    <row r="270" s="1" customFormat="true" ht="12.75" hidden="false" customHeight="false" outlineLevel="0" collapsed="false">
      <c r="E270" s="2"/>
      <c r="F270" s="4"/>
      <c r="G270" s="109"/>
      <c r="H270" s="6"/>
      <c r="I270" s="110"/>
      <c r="W270" s="108"/>
    </row>
    <row r="271" s="1" customFormat="true" ht="12.75" hidden="false" customHeight="false" outlineLevel="0" collapsed="false">
      <c r="E271" s="2"/>
      <c r="F271" s="4"/>
      <c r="G271" s="109"/>
      <c r="H271" s="6"/>
      <c r="I271" s="110"/>
      <c r="W271" s="108"/>
    </row>
    <row r="272" s="1" customFormat="true" ht="12.75" hidden="false" customHeight="false" outlineLevel="0" collapsed="false">
      <c r="E272" s="2"/>
      <c r="F272" s="4"/>
      <c r="G272" s="109"/>
      <c r="H272" s="6"/>
      <c r="I272" s="110"/>
      <c r="W272" s="108"/>
    </row>
    <row r="273" s="1" customFormat="true" ht="12.75" hidden="false" customHeight="false" outlineLevel="0" collapsed="false">
      <c r="E273" s="2"/>
      <c r="F273" s="4"/>
      <c r="G273" s="109"/>
      <c r="H273" s="6"/>
      <c r="I273" s="110"/>
      <c r="W273" s="108"/>
    </row>
    <row r="274" s="1" customFormat="true" ht="12.75" hidden="false" customHeight="false" outlineLevel="0" collapsed="false">
      <c r="E274" s="2"/>
      <c r="F274" s="4"/>
      <c r="G274" s="109"/>
      <c r="H274" s="6"/>
      <c r="I274" s="110"/>
      <c r="W274" s="108"/>
    </row>
    <row r="275" s="1" customFormat="true" ht="12.75" hidden="false" customHeight="false" outlineLevel="0" collapsed="false">
      <c r="E275" s="2"/>
      <c r="F275" s="4"/>
      <c r="G275" s="109"/>
      <c r="H275" s="6"/>
      <c r="I275" s="110"/>
      <c r="W275" s="108"/>
    </row>
    <row r="276" s="1" customFormat="true" ht="12.75" hidden="false" customHeight="false" outlineLevel="0" collapsed="false">
      <c r="E276" s="2"/>
      <c r="F276" s="4"/>
      <c r="G276" s="109"/>
      <c r="H276" s="6"/>
      <c r="I276" s="110"/>
      <c r="W276" s="108"/>
    </row>
    <row r="277" s="1" customFormat="true" ht="12.75" hidden="false" customHeight="false" outlineLevel="0" collapsed="false">
      <c r="E277" s="2"/>
      <c r="F277" s="4"/>
      <c r="G277" s="109"/>
      <c r="H277" s="6"/>
      <c r="I277" s="110"/>
      <c r="W277" s="108"/>
    </row>
    <row r="278" s="1" customFormat="true" ht="12.75" hidden="false" customHeight="false" outlineLevel="0" collapsed="false">
      <c r="E278" s="2"/>
      <c r="F278" s="4"/>
      <c r="G278" s="109"/>
      <c r="H278" s="6"/>
      <c r="I278" s="110"/>
      <c r="W278" s="108"/>
    </row>
    <row r="279" s="1" customFormat="true" ht="12.75" hidden="false" customHeight="false" outlineLevel="0" collapsed="false">
      <c r="E279" s="2"/>
      <c r="F279" s="4"/>
      <c r="G279" s="109"/>
      <c r="H279" s="6"/>
      <c r="I279" s="110"/>
      <c r="W279" s="108"/>
    </row>
    <row r="280" s="1" customFormat="true" ht="12.75" hidden="false" customHeight="false" outlineLevel="0" collapsed="false">
      <c r="E280" s="2"/>
      <c r="F280" s="4"/>
      <c r="G280" s="109"/>
      <c r="H280" s="6"/>
      <c r="I280" s="110"/>
      <c r="W280" s="108"/>
    </row>
    <row r="281" s="1" customFormat="true" ht="12.75" hidden="false" customHeight="false" outlineLevel="0" collapsed="false">
      <c r="E281" s="2"/>
      <c r="F281" s="4"/>
      <c r="G281" s="109"/>
      <c r="H281" s="6"/>
      <c r="I281" s="110"/>
      <c r="W281" s="108"/>
    </row>
    <row r="282" s="1" customFormat="true" ht="12.75" hidden="false" customHeight="false" outlineLevel="0" collapsed="false">
      <c r="E282" s="2"/>
      <c r="F282" s="4"/>
      <c r="G282" s="109"/>
      <c r="H282" s="6"/>
      <c r="I282" s="110"/>
      <c r="W282" s="108"/>
    </row>
    <row r="283" s="1" customFormat="true" ht="12.75" hidden="false" customHeight="false" outlineLevel="0" collapsed="false">
      <c r="E283" s="2"/>
      <c r="F283" s="4"/>
      <c r="G283" s="109"/>
      <c r="H283" s="6"/>
      <c r="I283" s="110"/>
      <c r="W283" s="108"/>
    </row>
    <row r="284" s="1" customFormat="true" ht="12.75" hidden="false" customHeight="false" outlineLevel="0" collapsed="false">
      <c r="E284" s="2"/>
      <c r="F284" s="4"/>
      <c r="G284" s="109"/>
      <c r="H284" s="6"/>
      <c r="I284" s="110"/>
      <c r="W284" s="108"/>
    </row>
    <row r="285" s="1" customFormat="true" ht="12.75" hidden="false" customHeight="false" outlineLevel="0" collapsed="false">
      <c r="E285" s="2"/>
      <c r="F285" s="4"/>
      <c r="G285" s="109"/>
      <c r="H285" s="6"/>
      <c r="I285" s="110"/>
      <c r="W285" s="108"/>
    </row>
    <row r="286" s="1" customFormat="true" ht="12.75" hidden="false" customHeight="false" outlineLevel="0" collapsed="false">
      <c r="E286" s="2"/>
      <c r="F286" s="4"/>
      <c r="G286" s="109"/>
      <c r="H286" s="6"/>
      <c r="I286" s="110"/>
      <c r="W286" s="108"/>
    </row>
    <row r="287" s="1" customFormat="true" ht="12.75" hidden="false" customHeight="false" outlineLevel="0" collapsed="false">
      <c r="E287" s="2"/>
      <c r="F287" s="4"/>
      <c r="G287" s="109"/>
      <c r="H287" s="6"/>
      <c r="I287" s="110"/>
      <c r="W287" s="108"/>
    </row>
    <row r="288" s="1" customFormat="true" ht="12.75" hidden="false" customHeight="false" outlineLevel="0" collapsed="false">
      <c r="E288" s="2"/>
      <c r="F288" s="4"/>
      <c r="G288" s="109"/>
      <c r="H288" s="6"/>
      <c r="I288" s="110"/>
      <c r="W288" s="108"/>
    </row>
    <row r="289" s="1" customFormat="true" ht="12.75" hidden="false" customHeight="false" outlineLevel="0" collapsed="false">
      <c r="E289" s="2"/>
      <c r="F289" s="4"/>
      <c r="G289" s="109"/>
      <c r="H289" s="6"/>
      <c r="I289" s="110"/>
      <c r="W289" s="108"/>
    </row>
    <row r="290" s="1" customFormat="true" ht="12.75" hidden="false" customHeight="false" outlineLevel="0" collapsed="false">
      <c r="E290" s="2"/>
      <c r="F290" s="4"/>
      <c r="G290" s="109"/>
      <c r="H290" s="6"/>
      <c r="I290" s="110"/>
      <c r="W290" s="108"/>
    </row>
    <row r="291" s="1" customFormat="true" ht="12.75" hidden="false" customHeight="false" outlineLevel="0" collapsed="false">
      <c r="E291" s="2"/>
      <c r="F291" s="4"/>
      <c r="G291" s="109"/>
      <c r="H291" s="6"/>
      <c r="I291" s="110"/>
      <c r="W291" s="108"/>
    </row>
    <row r="292" s="1" customFormat="true" ht="12.75" hidden="false" customHeight="false" outlineLevel="0" collapsed="false">
      <c r="E292" s="2"/>
      <c r="F292" s="4"/>
      <c r="G292" s="109"/>
      <c r="H292" s="6"/>
      <c r="I292" s="110"/>
      <c r="W292" s="108"/>
    </row>
    <row r="293" s="1" customFormat="true" ht="12.75" hidden="false" customHeight="false" outlineLevel="0" collapsed="false">
      <c r="E293" s="2"/>
      <c r="F293" s="4"/>
      <c r="G293" s="109"/>
      <c r="H293" s="6"/>
      <c r="I293" s="110"/>
      <c r="W293" s="108"/>
    </row>
    <row r="294" s="1" customFormat="true" ht="12.75" hidden="false" customHeight="false" outlineLevel="0" collapsed="false">
      <c r="E294" s="2"/>
      <c r="F294" s="4"/>
      <c r="G294" s="109"/>
      <c r="H294" s="6"/>
      <c r="I294" s="110"/>
      <c r="W294" s="108"/>
    </row>
    <row r="295" s="1" customFormat="true" ht="12.75" hidden="false" customHeight="false" outlineLevel="0" collapsed="false">
      <c r="E295" s="2"/>
      <c r="F295" s="4"/>
      <c r="G295" s="109"/>
      <c r="H295" s="6"/>
      <c r="I295" s="110"/>
      <c r="W295" s="108"/>
    </row>
    <row r="296" s="1" customFormat="true" ht="12.75" hidden="false" customHeight="false" outlineLevel="0" collapsed="false">
      <c r="E296" s="2"/>
      <c r="F296" s="4"/>
      <c r="G296" s="109"/>
      <c r="H296" s="6"/>
      <c r="I296" s="110"/>
      <c r="W296" s="108"/>
    </row>
    <row r="297" s="1" customFormat="true" ht="12.75" hidden="false" customHeight="false" outlineLevel="0" collapsed="false">
      <c r="E297" s="2"/>
      <c r="F297" s="4"/>
      <c r="G297" s="109"/>
      <c r="H297" s="6"/>
      <c r="I297" s="110"/>
      <c r="W297" s="108"/>
    </row>
    <row r="298" s="1" customFormat="true" ht="12.75" hidden="false" customHeight="false" outlineLevel="0" collapsed="false">
      <c r="E298" s="2"/>
      <c r="F298" s="4"/>
      <c r="G298" s="109"/>
      <c r="H298" s="6"/>
      <c r="I298" s="110"/>
      <c r="W298" s="108"/>
    </row>
    <row r="299" s="1" customFormat="true" ht="12.75" hidden="false" customHeight="false" outlineLevel="0" collapsed="false">
      <c r="E299" s="2"/>
      <c r="F299" s="4"/>
      <c r="G299" s="109"/>
      <c r="H299" s="6"/>
      <c r="I299" s="110"/>
      <c r="W299" s="108"/>
    </row>
    <row r="300" s="1" customFormat="true" ht="12.75" hidden="false" customHeight="false" outlineLevel="0" collapsed="false">
      <c r="E300" s="2"/>
      <c r="F300" s="4"/>
      <c r="G300" s="109"/>
      <c r="H300" s="6"/>
      <c r="I300" s="110"/>
      <c r="W300" s="108"/>
    </row>
    <row r="301" s="1" customFormat="true" ht="12.75" hidden="false" customHeight="false" outlineLevel="0" collapsed="false">
      <c r="E301" s="2"/>
      <c r="F301" s="4"/>
      <c r="G301" s="109"/>
      <c r="H301" s="6"/>
      <c r="I301" s="110"/>
      <c r="W301" s="108"/>
    </row>
    <row r="302" s="1" customFormat="true" ht="12.75" hidden="false" customHeight="false" outlineLevel="0" collapsed="false">
      <c r="E302" s="2"/>
      <c r="F302" s="4"/>
      <c r="G302" s="109"/>
      <c r="H302" s="6"/>
      <c r="I302" s="110"/>
      <c r="W302" s="108"/>
    </row>
    <row r="303" s="1" customFormat="true" ht="12.75" hidden="false" customHeight="false" outlineLevel="0" collapsed="false">
      <c r="E303" s="2"/>
      <c r="F303" s="4"/>
      <c r="G303" s="109"/>
      <c r="H303" s="6"/>
      <c r="I303" s="110"/>
      <c r="W303" s="108"/>
    </row>
    <row r="304" s="1" customFormat="true" ht="12.75" hidden="false" customHeight="false" outlineLevel="0" collapsed="false">
      <c r="E304" s="2"/>
      <c r="F304" s="4"/>
      <c r="G304" s="109"/>
      <c r="H304" s="6"/>
      <c r="I304" s="110"/>
      <c r="W304" s="108"/>
    </row>
    <row r="305" s="1" customFormat="true" ht="12.75" hidden="false" customHeight="false" outlineLevel="0" collapsed="false">
      <c r="E305" s="2"/>
      <c r="F305" s="4"/>
      <c r="G305" s="109"/>
      <c r="H305" s="6"/>
      <c r="I305" s="110"/>
      <c r="W305" s="108"/>
    </row>
    <row r="306" s="1" customFormat="true" ht="12.75" hidden="false" customHeight="false" outlineLevel="0" collapsed="false">
      <c r="E306" s="2"/>
      <c r="F306" s="4"/>
      <c r="G306" s="109"/>
      <c r="H306" s="6"/>
      <c r="I306" s="110"/>
      <c r="W306" s="108"/>
    </row>
    <row r="307" s="1" customFormat="true" ht="12.75" hidden="false" customHeight="false" outlineLevel="0" collapsed="false">
      <c r="E307" s="2"/>
      <c r="F307" s="4"/>
      <c r="G307" s="109"/>
      <c r="H307" s="6"/>
      <c r="I307" s="110"/>
      <c r="W307" s="108"/>
    </row>
    <row r="308" s="1" customFormat="true" ht="12.75" hidden="false" customHeight="false" outlineLevel="0" collapsed="false">
      <c r="E308" s="2"/>
      <c r="F308" s="4"/>
      <c r="G308" s="109"/>
      <c r="H308" s="6"/>
      <c r="I308" s="110"/>
      <c r="W308" s="108"/>
    </row>
    <row r="309" s="1" customFormat="true" ht="12.75" hidden="false" customHeight="false" outlineLevel="0" collapsed="false">
      <c r="E309" s="2"/>
      <c r="F309" s="4"/>
      <c r="G309" s="109"/>
      <c r="H309" s="6"/>
      <c r="I309" s="110"/>
      <c r="W309" s="108"/>
    </row>
    <row r="310" s="1" customFormat="true" ht="12.75" hidden="false" customHeight="false" outlineLevel="0" collapsed="false">
      <c r="E310" s="2"/>
      <c r="F310" s="4"/>
      <c r="G310" s="109"/>
      <c r="H310" s="6"/>
      <c r="I310" s="110"/>
      <c r="W310" s="108"/>
    </row>
    <row r="311" s="1" customFormat="true" ht="12.75" hidden="false" customHeight="false" outlineLevel="0" collapsed="false">
      <c r="E311" s="2"/>
      <c r="F311" s="4"/>
      <c r="G311" s="109"/>
      <c r="H311" s="6"/>
      <c r="I311" s="110"/>
      <c r="W311" s="108"/>
    </row>
    <row r="312" s="1" customFormat="true" ht="12.75" hidden="false" customHeight="false" outlineLevel="0" collapsed="false">
      <c r="E312" s="2"/>
      <c r="F312" s="4"/>
      <c r="G312" s="109"/>
      <c r="H312" s="6"/>
      <c r="I312" s="110"/>
      <c r="W312" s="108"/>
    </row>
    <row r="313" s="1" customFormat="true" ht="12.75" hidden="false" customHeight="false" outlineLevel="0" collapsed="false">
      <c r="E313" s="2"/>
      <c r="F313" s="4"/>
      <c r="G313" s="109"/>
      <c r="H313" s="6"/>
      <c r="I313" s="110"/>
      <c r="W313" s="108"/>
    </row>
    <row r="314" s="1" customFormat="true" ht="12.75" hidden="false" customHeight="false" outlineLevel="0" collapsed="false">
      <c r="E314" s="2"/>
      <c r="F314" s="4"/>
      <c r="G314" s="109"/>
      <c r="H314" s="6"/>
      <c r="I314" s="110"/>
      <c r="W314" s="108"/>
    </row>
    <row r="315" s="1" customFormat="true" ht="12.75" hidden="false" customHeight="false" outlineLevel="0" collapsed="false">
      <c r="E315" s="2"/>
      <c r="F315" s="4"/>
      <c r="G315" s="109"/>
      <c r="H315" s="6"/>
      <c r="I315" s="110"/>
      <c r="W315" s="108"/>
    </row>
    <row r="316" s="1" customFormat="true" ht="12.75" hidden="false" customHeight="false" outlineLevel="0" collapsed="false">
      <c r="E316" s="2"/>
      <c r="F316" s="4"/>
      <c r="G316" s="109"/>
      <c r="H316" s="6"/>
      <c r="I316" s="110"/>
      <c r="W316" s="108"/>
    </row>
    <row r="317" s="1" customFormat="true" ht="12.75" hidden="false" customHeight="false" outlineLevel="0" collapsed="false">
      <c r="E317" s="2"/>
      <c r="F317" s="4"/>
      <c r="G317" s="109"/>
      <c r="H317" s="6"/>
      <c r="I317" s="110"/>
      <c r="W317" s="108"/>
    </row>
    <row r="318" s="1" customFormat="true" ht="12.75" hidden="false" customHeight="false" outlineLevel="0" collapsed="false">
      <c r="E318" s="2"/>
      <c r="F318" s="4"/>
      <c r="G318" s="109"/>
      <c r="H318" s="6"/>
      <c r="I318" s="110"/>
      <c r="W318" s="108"/>
    </row>
    <row r="319" s="1" customFormat="true" ht="12.75" hidden="false" customHeight="false" outlineLevel="0" collapsed="false">
      <c r="E319" s="2"/>
      <c r="F319" s="4"/>
      <c r="G319" s="109"/>
      <c r="H319" s="6"/>
      <c r="I319" s="110"/>
      <c r="W319" s="108"/>
    </row>
    <row r="320" s="1" customFormat="true" ht="12.75" hidden="false" customHeight="false" outlineLevel="0" collapsed="false">
      <c r="E320" s="2"/>
      <c r="F320" s="4"/>
      <c r="G320" s="109"/>
      <c r="H320" s="6"/>
      <c r="I320" s="110"/>
      <c r="W320" s="108"/>
    </row>
    <row r="321" s="1" customFormat="true" ht="12.75" hidden="false" customHeight="false" outlineLevel="0" collapsed="false">
      <c r="E321" s="2"/>
      <c r="F321" s="4"/>
      <c r="G321" s="109"/>
      <c r="H321" s="6"/>
      <c r="I321" s="110"/>
      <c r="W321" s="108"/>
    </row>
    <row r="322" s="1" customFormat="true" ht="12.75" hidden="false" customHeight="false" outlineLevel="0" collapsed="false">
      <c r="E322" s="2"/>
      <c r="F322" s="4"/>
      <c r="G322" s="109"/>
      <c r="H322" s="6"/>
      <c r="I322" s="110"/>
      <c r="W322" s="108"/>
    </row>
    <row r="323" s="1" customFormat="true" ht="12.75" hidden="false" customHeight="false" outlineLevel="0" collapsed="false">
      <c r="E323" s="2"/>
      <c r="F323" s="4"/>
      <c r="G323" s="109"/>
      <c r="H323" s="6"/>
      <c r="I323" s="110"/>
      <c r="W323" s="108"/>
    </row>
    <row r="324" s="1" customFormat="true" ht="12.75" hidden="false" customHeight="false" outlineLevel="0" collapsed="false">
      <c r="E324" s="2"/>
      <c r="F324" s="4"/>
      <c r="G324" s="109"/>
      <c r="H324" s="6"/>
      <c r="I324" s="110"/>
      <c r="W324" s="108"/>
    </row>
    <row r="325" s="1" customFormat="true" ht="12.75" hidden="false" customHeight="false" outlineLevel="0" collapsed="false">
      <c r="E325" s="2"/>
      <c r="F325" s="4"/>
      <c r="G325" s="109"/>
      <c r="H325" s="6"/>
      <c r="I325" s="110"/>
      <c r="W325" s="108"/>
    </row>
    <row r="326" s="1" customFormat="true" ht="12.75" hidden="false" customHeight="false" outlineLevel="0" collapsed="false">
      <c r="E326" s="2"/>
      <c r="F326" s="4"/>
      <c r="G326" s="109"/>
      <c r="H326" s="6"/>
      <c r="I326" s="110"/>
      <c r="W326" s="108"/>
    </row>
    <row r="327" s="1" customFormat="true" ht="12.75" hidden="false" customHeight="false" outlineLevel="0" collapsed="false">
      <c r="E327" s="2"/>
      <c r="F327" s="4"/>
      <c r="G327" s="109"/>
      <c r="H327" s="6"/>
      <c r="I327" s="110"/>
      <c r="W327" s="108"/>
    </row>
    <row r="328" s="1" customFormat="true" ht="12.75" hidden="false" customHeight="false" outlineLevel="0" collapsed="false">
      <c r="E328" s="2"/>
      <c r="F328" s="4"/>
      <c r="G328" s="109"/>
      <c r="H328" s="6"/>
      <c r="I328" s="110"/>
      <c r="W328" s="108"/>
    </row>
    <row r="329" s="1" customFormat="true" ht="12.75" hidden="false" customHeight="false" outlineLevel="0" collapsed="false">
      <c r="E329" s="2"/>
      <c r="F329" s="4"/>
      <c r="G329" s="109"/>
      <c r="H329" s="6"/>
      <c r="I329" s="110"/>
      <c r="W329" s="108"/>
    </row>
    <row r="330" s="1" customFormat="true" ht="12.75" hidden="false" customHeight="false" outlineLevel="0" collapsed="false">
      <c r="E330" s="2"/>
      <c r="F330" s="4"/>
      <c r="G330" s="109"/>
      <c r="H330" s="6"/>
      <c r="I330" s="110"/>
      <c r="W330" s="108"/>
    </row>
    <row r="331" s="1" customFormat="true" ht="12.75" hidden="false" customHeight="false" outlineLevel="0" collapsed="false">
      <c r="E331" s="2"/>
      <c r="F331" s="4"/>
      <c r="G331" s="109"/>
      <c r="H331" s="6"/>
      <c r="I331" s="110"/>
      <c r="W331" s="108"/>
    </row>
    <row r="332" s="1" customFormat="true" ht="12.75" hidden="false" customHeight="false" outlineLevel="0" collapsed="false">
      <c r="E332" s="2"/>
      <c r="F332" s="4"/>
      <c r="G332" s="109"/>
      <c r="H332" s="6"/>
      <c r="I332" s="110"/>
      <c r="W332" s="108"/>
    </row>
    <row r="333" s="1" customFormat="true" ht="12.75" hidden="false" customHeight="false" outlineLevel="0" collapsed="false">
      <c r="E333" s="2"/>
      <c r="F333" s="4"/>
      <c r="G333" s="109"/>
      <c r="H333" s="6"/>
      <c r="I333" s="110"/>
      <c r="W333" s="108"/>
    </row>
    <row r="334" s="1" customFormat="true" ht="12.75" hidden="false" customHeight="false" outlineLevel="0" collapsed="false">
      <c r="E334" s="2"/>
      <c r="F334" s="4"/>
      <c r="G334" s="109"/>
      <c r="H334" s="6"/>
      <c r="I334" s="110"/>
      <c r="W334" s="108"/>
    </row>
    <row r="335" s="1" customFormat="true" ht="12.75" hidden="false" customHeight="false" outlineLevel="0" collapsed="false">
      <c r="E335" s="2"/>
      <c r="F335" s="4"/>
      <c r="G335" s="109"/>
      <c r="H335" s="6"/>
      <c r="I335" s="110"/>
      <c r="W335" s="108"/>
    </row>
    <row r="336" s="1" customFormat="true" ht="12.75" hidden="false" customHeight="false" outlineLevel="0" collapsed="false">
      <c r="E336" s="2"/>
      <c r="F336" s="4"/>
      <c r="G336" s="109"/>
      <c r="H336" s="6"/>
      <c r="I336" s="110"/>
      <c r="W336" s="108"/>
    </row>
    <row r="337" s="1" customFormat="true" ht="12.75" hidden="false" customHeight="false" outlineLevel="0" collapsed="false">
      <c r="E337" s="2"/>
      <c r="F337" s="4"/>
      <c r="G337" s="109"/>
      <c r="H337" s="6"/>
      <c r="I337" s="110"/>
      <c r="W337" s="108"/>
    </row>
    <row r="338" s="1" customFormat="true" ht="12.75" hidden="false" customHeight="false" outlineLevel="0" collapsed="false">
      <c r="E338" s="2"/>
      <c r="F338" s="4"/>
      <c r="G338" s="109"/>
      <c r="H338" s="6"/>
      <c r="I338" s="110"/>
      <c r="W338" s="108"/>
    </row>
    <row r="339" s="1" customFormat="true" ht="12.75" hidden="false" customHeight="false" outlineLevel="0" collapsed="false">
      <c r="E339" s="2"/>
      <c r="F339" s="4"/>
      <c r="G339" s="109"/>
      <c r="H339" s="6"/>
      <c r="I339" s="110"/>
      <c r="W339" s="108"/>
    </row>
    <row r="340" s="1" customFormat="true" ht="12.75" hidden="false" customHeight="false" outlineLevel="0" collapsed="false">
      <c r="E340" s="2"/>
      <c r="F340" s="4"/>
      <c r="G340" s="109"/>
      <c r="H340" s="6"/>
      <c r="I340" s="110"/>
      <c r="W340" s="108"/>
    </row>
    <row r="341" s="1" customFormat="true" ht="12.75" hidden="false" customHeight="false" outlineLevel="0" collapsed="false">
      <c r="E341" s="2"/>
      <c r="F341" s="4"/>
      <c r="G341" s="109"/>
      <c r="H341" s="6"/>
      <c r="I341" s="110"/>
      <c r="W341" s="108"/>
    </row>
    <row r="342" s="1" customFormat="true" ht="12.75" hidden="false" customHeight="false" outlineLevel="0" collapsed="false">
      <c r="E342" s="2"/>
      <c r="F342" s="4"/>
      <c r="G342" s="109"/>
      <c r="H342" s="6"/>
      <c r="I342" s="110"/>
      <c r="W342" s="108"/>
    </row>
    <row r="343" s="1" customFormat="true" ht="12.75" hidden="false" customHeight="false" outlineLevel="0" collapsed="false">
      <c r="E343" s="2"/>
      <c r="F343" s="4"/>
      <c r="G343" s="109"/>
      <c r="H343" s="6"/>
      <c r="I343" s="110"/>
      <c r="W343" s="108"/>
    </row>
    <row r="344" s="1" customFormat="true" ht="12.75" hidden="false" customHeight="false" outlineLevel="0" collapsed="false">
      <c r="E344" s="2"/>
      <c r="F344" s="4"/>
      <c r="G344" s="109"/>
      <c r="H344" s="6"/>
      <c r="I344" s="110"/>
      <c r="W344" s="108"/>
    </row>
    <row r="345" s="1" customFormat="true" ht="12.75" hidden="false" customHeight="false" outlineLevel="0" collapsed="false">
      <c r="E345" s="2"/>
      <c r="F345" s="4"/>
      <c r="G345" s="109"/>
      <c r="H345" s="6"/>
      <c r="I345" s="110"/>
      <c r="W345" s="108"/>
    </row>
    <row r="346" s="1" customFormat="true" ht="12.75" hidden="false" customHeight="false" outlineLevel="0" collapsed="false">
      <c r="E346" s="2"/>
      <c r="F346" s="4"/>
      <c r="G346" s="109"/>
      <c r="H346" s="6"/>
      <c r="I346" s="110"/>
      <c r="W346" s="108"/>
    </row>
    <row r="347" s="1" customFormat="true" ht="12.75" hidden="false" customHeight="false" outlineLevel="0" collapsed="false">
      <c r="E347" s="2"/>
      <c r="F347" s="4"/>
      <c r="G347" s="109"/>
      <c r="H347" s="6"/>
      <c r="I347" s="110"/>
      <c r="W347" s="108"/>
    </row>
    <row r="348" s="1" customFormat="true" ht="12.75" hidden="false" customHeight="false" outlineLevel="0" collapsed="false">
      <c r="E348" s="2"/>
      <c r="F348" s="4"/>
      <c r="G348" s="109"/>
      <c r="H348" s="6"/>
      <c r="I348" s="110"/>
      <c r="W348" s="108"/>
    </row>
    <row r="349" s="1" customFormat="true" ht="12.75" hidden="false" customHeight="false" outlineLevel="0" collapsed="false">
      <c r="E349" s="2"/>
      <c r="F349" s="4"/>
      <c r="G349" s="109"/>
      <c r="H349" s="6"/>
      <c r="I349" s="110"/>
      <c r="W349" s="108"/>
    </row>
    <row r="350" s="1" customFormat="true" ht="12.75" hidden="false" customHeight="false" outlineLevel="0" collapsed="false">
      <c r="E350" s="2"/>
      <c r="F350" s="4"/>
      <c r="G350" s="109"/>
      <c r="H350" s="6"/>
      <c r="I350" s="110"/>
      <c r="W350" s="108"/>
    </row>
    <row r="351" customFormat="false" ht="12.75" hidden="false" customHeight="false" outlineLevel="0" collapsed="false">
      <c r="E351" s="2"/>
      <c r="F351" s="4"/>
      <c r="G351" s="109"/>
      <c r="H351" s="6"/>
      <c r="I351" s="110"/>
    </row>
    <row r="352" customFormat="false" ht="12.75" hidden="false" customHeight="false" outlineLevel="0" collapsed="false">
      <c r="E352" s="2"/>
      <c r="F352" s="4"/>
      <c r="G352" s="109"/>
      <c r="H352" s="6"/>
      <c r="I352" s="110"/>
    </row>
    <row r="353" customFormat="false" ht="12.75" hidden="false" customHeight="false" outlineLevel="0" collapsed="false">
      <c r="E353" s="2"/>
      <c r="F353" s="4"/>
      <c r="G353" s="109"/>
      <c r="H353" s="6"/>
      <c r="I353" s="110"/>
    </row>
    <row r="354" customFormat="false" ht="12.75" hidden="false" customHeight="false" outlineLevel="0" collapsed="false">
      <c r="E354" s="2"/>
      <c r="F354" s="4"/>
      <c r="G354" s="109"/>
      <c r="H354" s="6"/>
      <c r="I354" s="110"/>
    </row>
    <row r="355" customFormat="false" ht="12.75" hidden="false" customHeight="false" outlineLevel="0" collapsed="false">
      <c r="E355" s="2"/>
      <c r="F355" s="4"/>
      <c r="G355" s="109"/>
      <c r="H355" s="6"/>
      <c r="I355" s="110"/>
    </row>
    <row r="356" customFormat="false" ht="12.75" hidden="false" customHeight="false" outlineLevel="0" collapsed="false">
      <c r="E356" s="2"/>
      <c r="F356" s="4"/>
      <c r="G356" s="109"/>
      <c r="H356" s="6"/>
      <c r="I356" s="110"/>
    </row>
    <row r="357" customFormat="false" ht="12.75" hidden="false" customHeight="false" outlineLevel="0" collapsed="false">
      <c r="E357" s="2"/>
      <c r="F357" s="4"/>
      <c r="G357" s="109"/>
      <c r="H357" s="6"/>
      <c r="I357" s="110"/>
    </row>
    <row r="358" customFormat="false" ht="12.75" hidden="false" customHeight="false" outlineLevel="0" collapsed="false">
      <c r="E358" s="2"/>
      <c r="F358" s="4"/>
      <c r="G358" s="109"/>
      <c r="H358" s="6"/>
      <c r="I358" s="110"/>
    </row>
    <row r="359" customFormat="false" ht="12.75" hidden="false" customHeight="false" outlineLevel="0" collapsed="false">
      <c r="E359" s="2"/>
      <c r="F359" s="4"/>
      <c r="G359" s="109"/>
      <c r="H359" s="6"/>
      <c r="I359" s="110"/>
    </row>
    <row r="360" customFormat="false" ht="12.75" hidden="false" customHeight="false" outlineLevel="0" collapsed="false">
      <c r="E360" s="2"/>
      <c r="F360" s="4"/>
      <c r="G360" s="109"/>
      <c r="H360" s="6"/>
      <c r="I360" s="110"/>
    </row>
    <row r="361" customFormat="false" ht="12.75" hidden="false" customHeight="false" outlineLevel="0" collapsed="false">
      <c r="E361" s="2"/>
      <c r="F361" s="4"/>
      <c r="G361" s="109"/>
      <c r="H361" s="6"/>
      <c r="I361" s="110"/>
    </row>
    <row r="362" customFormat="false" ht="12.75" hidden="false" customHeight="false" outlineLevel="0" collapsed="false">
      <c r="E362" s="2"/>
      <c r="F362" s="4"/>
      <c r="G362" s="109"/>
      <c r="H362" s="6"/>
      <c r="I362" s="110"/>
    </row>
    <row r="363" customFormat="false" ht="12.75" hidden="false" customHeight="false" outlineLevel="0" collapsed="false">
      <c r="E363" s="2"/>
      <c r="F363" s="4"/>
      <c r="G363" s="109"/>
      <c r="H363" s="6"/>
      <c r="I363" s="110"/>
    </row>
    <row r="364" customFormat="false" ht="12.75" hidden="false" customHeight="false" outlineLevel="0" collapsed="false">
      <c r="E364" s="2"/>
      <c r="F364" s="4"/>
      <c r="G364" s="109"/>
      <c r="H364" s="6"/>
      <c r="I364" s="110"/>
    </row>
    <row r="365" customFormat="false" ht="12.75" hidden="false" customHeight="false" outlineLevel="0" collapsed="false">
      <c r="E365" s="2"/>
      <c r="F365" s="4"/>
      <c r="G365" s="109"/>
      <c r="H365" s="6"/>
      <c r="I365" s="110"/>
    </row>
    <row r="366" customFormat="false" ht="12.75" hidden="false" customHeight="false" outlineLevel="0" collapsed="false">
      <c r="E366" s="2"/>
      <c r="F366" s="4"/>
      <c r="G366" s="109"/>
      <c r="H366" s="6"/>
      <c r="I366" s="110"/>
    </row>
    <row r="367" customFormat="false" ht="12.75" hidden="false" customHeight="false" outlineLevel="0" collapsed="false">
      <c r="E367" s="2"/>
      <c r="F367" s="4"/>
      <c r="G367" s="109"/>
      <c r="H367" s="6"/>
      <c r="I367" s="110"/>
    </row>
    <row r="368" customFormat="false" ht="12.75" hidden="false" customHeight="false" outlineLevel="0" collapsed="false">
      <c r="E368" s="2"/>
      <c r="F368" s="4"/>
      <c r="G368" s="109"/>
      <c r="H368" s="6"/>
      <c r="I368" s="110"/>
    </row>
    <row r="369" customFormat="false" ht="12.75" hidden="false" customHeight="false" outlineLevel="0" collapsed="false">
      <c r="E369" s="2"/>
      <c r="F369" s="4"/>
      <c r="G369" s="109"/>
      <c r="H369" s="6"/>
      <c r="I369" s="110"/>
    </row>
    <row r="370" customFormat="false" ht="12.75" hidden="false" customHeight="false" outlineLevel="0" collapsed="false">
      <c r="E370" s="2"/>
      <c r="F370" s="4"/>
      <c r="G370" s="109"/>
      <c r="H370" s="6"/>
      <c r="I370" s="110"/>
    </row>
    <row r="371" customFormat="false" ht="12.75" hidden="false" customHeight="false" outlineLevel="0" collapsed="false">
      <c r="E371" s="2"/>
      <c r="F371" s="4"/>
      <c r="G371" s="109"/>
      <c r="H371" s="6"/>
      <c r="I371" s="110"/>
    </row>
    <row r="372" customFormat="false" ht="12.75" hidden="false" customHeight="false" outlineLevel="0" collapsed="false">
      <c r="E372" s="2"/>
      <c r="F372" s="4"/>
      <c r="G372" s="109"/>
      <c r="H372" s="6"/>
      <c r="I372" s="110"/>
    </row>
    <row r="373" customFormat="false" ht="12.75" hidden="false" customHeight="false" outlineLevel="0" collapsed="false">
      <c r="E373" s="2"/>
      <c r="F373" s="4"/>
      <c r="G373" s="109"/>
      <c r="H373" s="6"/>
      <c r="I373" s="110"/>
    </row>
    <row r="374" customFormat="false" ht="12.75" hidden="false" customHeight="false" outlineLevel="0" collapsed="false">
      <c r="E374" s="2"/>
      <c r="F374" s="4"/>
      <c r="G374" s="109"/>
      <c r="H374" s="6"/>
      <c r="I374" s="110"/>
    </row>
    <row r="375" customFormat="false" ht="12.75" hidden="false" customHeight="false" outlineLevel="0" collapsed="false">
      <c r="E375" s="2"/>
      <c r="F375" s="4"/>
      <c r="G375" s="109"/>
      <c r="H375" s="6"/>
      <c r="I375" s="110"/>
    </row>
    <row r="376" customFormat="false" ht="12.75" hidden="false" customHeight="false" outlineLevel="0" collapsed="false">
      <c r="E376" s="2"/>
      <c r="F376" s="4"/>
      <c r="G376" s="109"/>
      <c r="H376" s="6"/>
      <c r="I376" s="110"/>
    </row>
    <row r="377" customFormat="false" ht="12.75" hidden="false" customHeight="false" outlineLevel="0" collapsed="false">
      <c r="E377" s="2"/>
      <c r="F377" s="4"/>
      <c r="G377" s="109"/>
      <c r="H377" s="6"/>
      <c r="I377" s="110"/>
    </row>
    <row r="378" customFormat="false" ht="12.75" hidden="false" customHeight="false" outlineLevel="0" collapsed="false">
      <c r="E378" s="2"/>
      <c r="F378" s="4"/>
      <c r="G378" s="109"/>
      <c r="H378" s="6"/>
      <c r="I378" s="110"/>
    </row>
    <row r="379" customFormat="false" ht="12.75" hidden="false" customHeight="false" outlineLevel="0" collapsed="false">
      <c r="E379" s="2"/>
      <c r="F379" s="4"/>
      <c r="G379" s="109"/>
    </row>
    <row r="380" customFormat="false" ht="12.75" hidden="false" customHeight="false" outlineLevel="0" collapsed="false">
      <c r="E380" s="2"/>
      <c r="F380" s="4"/>
      <c r="G380" s="109"/>
    </row>
    <row r="381" customFormat="false" ht="12.75" hidden="false" customHeight="false" outlineLevel="0" collapsed="false">
      <c r="E381" s="2"/>
      <c r="F381" s="4"/>
      <c r="G381" s="109"/>
    </row>
    <row r="382" customFormat="false" ht="12.75" hidden="false" customHeight="false" outlineLevel="0" collapsed="false">
      <c r="E382" s="2"/>
      <c r="F382" s="4"/>
      <c r="G382" s="109"/>
    </row>
    <row r="383" customFormat="false" ht="12.75" hidden="false" customHeight="false" outlineLevel="0" collapsed="false">
      <c r="E383" s="2"/>
      <c r="F383" s="4"/>
      <c r="G383" s="109"/>
    </row>
    <row r="384" customFormat="false" ht="12.75" hidden="false" customHeight="false" outlineLevel="0" collapsed="false">
      <c r="E384" s="2"/>
      <c r="F384" s="4"/>
      <c r="G384" s="109"/>
    </row>
    <row r="385" customFormat="false" ht="12.75" hidden="false" customHeight="false" outlineLevel="0" collapsed="false">
      <c r="E385" s="2"/>
      <c r="F385" s="4"/>
      <c r="G385" s="109"/>
    </row>
    <row r="386" customFormat="false" ht="12.75" hidden="false" customHeight="false" outlineLevel="0" collapsed="false">
      <c r="E386" s="2"/>
      <c r="F386" s="4"/>
      <c r="G386" s="109"/>
    </row>
    <row r="387" customFormat="false" ht="12.75" hidden="false" customHeight="false" outlineLevel="0" collapsed="false">
      <c r="E387" s="2"/>
      <c r="F387" s="4"/>
      <c r="G387" s="109"/>
    </row>
    <row r="388" customFormat="false" ht="12.75" hidden="false" customHeight="false" outlineLevel="0" collapsed="false">
      <c r="E388" s="2"/>
      <c r="F388" s="4"/>
      <c r="G388" s="109"/>
    </row>
    <row r="389" customFormat="false" ht="12.75" hidden="false" customHeight="false" outlineLevel="0" collapsed="false">
      <c r="E389" s="2"/>
      <c r="F389" s="4"/>
      <c r="G389" s="109"/>
    </row>
    <row r="390" customFormat="false" ht="12.75" hidden="false" customHeight="false" outlineLevel="0" collapsed="false">
      <c r="E390" s="2"/>
      <c r="F390" s="4"/>
      <c r="G390" s="109"/>
    </row>
    <row r="391" customFormat="false" ht="12.75" hidden="false" customHeight="false" outlineLevel="0" collapsed="false">
      <c r="E391" s="2"/>
      <c r="F391" s="4"/>
      <c r="G391" s="109"/>
    </row>
    <row r="392" customFormat="false" ht="12.75" hidden="false" customHeight="false" outlineLevel="0" collapsed="false">
      <c r="E392" s="2"/>
      <c r="F392" s="4"/>
      <c r="G392" s="109"/>
    </row>
    <row r="393" customFormat="false" ht="12.75" hidden="false" customHeight="false" outlineLevel="0" collapsed="false">
      <c r="E393" s="2"/>
      <c r="F393" s="4"/>
      <c r="G393" s="109"/>
    </row>
    <row r="394" customFormat="false" ht="12.75" hidden="false" customHeight="false" outlineLevel="0" collapsed="false">
      <c r="E394" s="2"/>
      <c r="F394" s="4"/>
      <c r="G394" s="109"/>
    </row>
    <row r="395" customFormat="false" ht="12.75" hidden="false" customHeight="false" outlineLevel="0" collapsed="false">
      <c r="E395" s="2"/>
      <c r="F395" s="4"/>
      <c r="G395" s="109"/>
    </row>
    <row r="396" customFormat="false" ht="12.75" hidden="false" customHeight="false" outlineLevel="0" collapsed="false">
      <c r="E396" s="2"/>
      <c r="F396" s="4"/>
      <c r="G396" s="109"/>
    </row>
    <row r="397" customFormat="false" ht="12.75" hidden="false" customHeight="false" outlineLevel="0" collapsed="false">
      <c r="E397" s="2"/>
      <c r="F397" s="4"/>
      <c r="G397" s="109"/>
    </row>
    <row r="398" customFormat="false" ht="12.75" hidden="false" customHeight="false" outlineLevel="0" collapsed="false">
      <c r="E398" s="2"/>
      <c r="F398" s="4"/>
      <c r="G398" s="109"/>
    </row>
    <row r="399" customFormat="false" ht="12.75" hidden="false" customHeight="false" outlineLevel="0" collapsed="false">
      <c r="E399" s="2"/>
      <c r="F399" s="4"/>
      <c r="G399" s="109"/>
    </row>
    <row r="400" customFormat="false" ht="12.75" hidden="false" customHeight="false" outlineLevel="0" collapsed="false">
      <c r="E400" s="2"/>
      <c r="F400" s="4"/>
      <c r="G400" s="109"/>
    </row>
    <row r="401" customFormat="false" ht="12.75" hidden="false" customHeight="false" outlineLevel="0" collapsed="false">
      <c r="E401" s="2"/>
      <c r="F401" s="4"/>
      <c r="G401" s="109"/>
    </row>
    <row r="402" customFormat="false" ht="12.75" hidden="false" customHeight="false" outlineLevel="0" collapsed="false">
      <c r="E402" s="2"/>
      <c r="F402" s="4"/>
      <c r="G402" s="109"/>
    </row>
    <row r="403" customFormat="false" ht="12.75" hidden="false" customHeight="false" outlineLevel="0" collapsed="false">
      <c r="E403" s="2"/>
      <c r="F403" s="4"/>
      <c r="G403" s="109"/>
    </row>
    <row r="404" customFormat="false" ht="12.75" hidden="false" customHeight="false" outlineLevel="0" collapsed="false">
      <c r="E404" s="2"/>
      <c r="F404" s="4"/>
      <c r="G404" s="109"/>
    </row>
    <row r="405" customFormat="false" ht="12.75" hidden="false" customHeight="false" outlineLevel="0" collapsed="false">
      <c r="E405" s="2"/>
      <c r="F405" s="4"/>
      <c r="G405" s="109"/>
    </row>
    <row r="406" customFormat="false" ht="12.75" hidden="false" customHeight="false" outlineLevel="0" collapsed="false">
      <c r="E406" s="2"/>
      <c r="F406" s="4"/>
      <c r="G406" s="109"/>
    </row>
    <row r="407" customFormat="false" ht="12.75" hidden="false" customHeight="false" outlineLevel="0" collapsed="false">
      <c r="E407" s="2"/>
      <c r="F407" s="4"/>
      <c r="G407" s="109"/>
    </row>
    <row r="408" customFormat="false" ht="12.75" hidden="false" customHeight="false" outlineLevel="0" collapsed="false">
      <c r="E408" s="2"/>
      <c r="F408" s="4"/>
      <c r="G408" s="109"/>
    </row>
    <row r="409" customFormat="false" ht="12.75" hidden="false" customHeight="false" outlineLevel="0" collapsed="false">
      <c r="E409" s="2"/>
      <c r="F409" s="4"/>
      <c r="G409" s="109"/>
    </row>
    <row r="410" customFormat="false" ht="12.75" hidden="false" customHeight="false" outlineLevel="0" collapsed="false">
      <c r="E410" s="2"/>
      <c r="F410" s="4"/>
      <c r="G410" s="109"/>
    </row>
    <row r="411" customFormat="false" ht="12.75" hidden="false" customHeight="false" outlineLevel="0" collapsed="false">
      <c r="E411" s="2"/>
      <c r="F411" s="4"/>
      <c r="G411" s="109"/>
    </row>
    <row r="412" customFormat="false" ht="12.75" hidden="false" customHeight="false" outlineLevel="0" collapsed="false">
      <c r="E412" s="2"/>
      <c r="F412" s="4"/>
      <c r="G412" s="109"/>
    </row>
    <row r="413" customFormat="false" ht="12.75" hidden="false" customHeight="false" outlineLevel="0" collapsed="false">
      <c r="E413" s="2"/>
      <c r="F413" s="4"/>
      <c r="G413" s="109"/>
    </row>
    <row r="414" customFormat="false" ht="12.75" hidden="false" customHeight="false" outlineLevel="0" collapsed="false">
      <c r="E414" s="2"/>
      <c r="F414" s="4"/>
      <c r="G414" s="109"/>
    </row>
    <row r="415" customFormat="false" ht="12.75" hidden="false" customHeight="false" outlineLevel="0" collapsed="false">
      <c r="E415" s="2"/>
      <c r="F415" s="4"/>
      <c r="G415" s="109"/>
    </row>
    <row r="416" customFormat="false" ht="12.75" hidden="false" customHeight="false" outlineLevel="0" collapsed="false">
      <c r="E416" s="2"/>
      <c r="F416" s="4"/>
      <c r="G416" s="109"/>
    </row>
    <row r="417" customFormat="false" ht="12.75" hidden="false" customHeight="false" outlineLevel="0" collapsed="false">
      <c r="E417" s="2"/>
      <c r="F417" s="4"/>
      <c r="G417" s="109"/>
    </row>
    <row r="418" customFormat="false" ht="12.75" hidden="false" customHeight="false" outlineLevel="0" collapsed="false">
      <c r="E418" s="2"/>
      <c r="F418" s="4"/>
      <c r="G418" s="109"/>
    </row>
    <row r="419" customFormat="false" ht="12.75" hidden="false" customHeight="false" outlineLevel="0" collapsed="false">
      <c r="E419" s="2"/>
      <c r="F419" s="4"/>
      <c r="G419" s="109"/>
    </row>
    <row r="420" customFormat="false" ht="12.75" hidden="false" customHeight="false" outlineLevel="0" collapsed="false">
      <c r="E420" s="2"/>
      <c r="F420" s="4"/>
      <c r="G420" s="109"/>
    </row>
    <row r="421" customFormat="false" ht="12.75" hidden="false" customHeight="false" outlineLevel="0" collapsed="false">
      <c r="E421" s="2"/>
      <c r="F421" s="4"/>
      <c r="G421" s="109"/>
    </row>
    <row r="422" customFormat="false" ht="12.75" hidden="false" customHeight="false" outlineLevel="0" collapsed="false">
      <c r="E422" s="2"/>
      <c r="F422" s="4"/>
      <c r="G422" s="109"/>
    </row>
    <row r="423" customFormat="false" ht="12.75" hidden="false" customHeight="false" outlineLevel="0" collapsed="false">
      <c r="E423" s="2"/>
      <c r="F423" s="4"/>
      <c r="G423" s="109"/>
    </row>
    <row r="424" customFormat="false" ht="12.75" hidden="false" customHeight="false" outlineLevel="0" collapsed="false">
      <c r="E424" s="2"/>
      <c r="F424" s="4"/>
      <c r="G424" s="109"/>
    </row>
    <row r="425" customFormat="false" ht="12.75" hidden="false" customHeight="false" outlineLevel="0" collapsed="false">
      <c r="E425" s="2"/>
      <c r="F425" s="4"/>
      <c r="G425" s="109"/>
    </row>
    <row r="426" customFormat="false" ht="12.75" hidden="false" customHeight="false" outlineLevel="0" collapsed="false">
      <c r="E426" s="2"/>
      <c r="F426" s="4"/>
      <c r="G426" s="109"/>
    </row>
    <row r="427" customFormat="false" ht="12.75" hidden="false" customHeight="false" outlineLevel="0" collapsed="false">
      <c r="E427" s="2"/>
      <c r="F427" s="4"/>
      <c r="G427" s="109"/>
    </row>
    <row r="428" customFormat="false" ht="12.75" hidden="false" customHeight="false" outlineLevel="0" collapsed="false">
      <c r="E428" s="2"/>
      <c r="F428" s="4"/>
      <c r="G428" s="109"/>
    </row>
    <row r="429" customFormat="false" ht="12.75" hidden="false" customHeight="false" outlineLevel="0" collapsed="false">
      <c r="E429" s="2"/>
      <c r="F429" s="4"/>
      <c r="G429" s="109"/>
    </row>
    <row r="430" customFormat="false" ht="12.75" hidden="false" customHeight="false" outlineLevel="0" collapsed="false">
      <c r="E430" s="2"/>
      <c r="F430" s="4"/>
      <c r="G430" s="109"/>
    </row>
    <row r="431" customFormat="false" ht="12.75" hidden="false" customHeight="false" outlineLevel="0" collapsed="false">
      <c r="E431" s="2"/>
      <c r="F431" s="4"/>
      <c r="G431" s="109"/>
    </row>
    <row r="432" customFormat="false" ht="12.75" hidden="false" customHeight="false" outlineLevel="0" collapsed="false">
      <c r="E432" s="2"/>
      <c r="F432" s="4"/>
      <c r="G432" s="109"/>
    </row>
    <row r="433" customFormat="false" ht="12.75" hidden="false" customHeight="false" outlineLevel="0" collapsed="false">
      <c r="E433" s="2"/>
      <c r="F433" s="4"/>
      <c r="G433" s="109"/>
    </row>
    <row r="434" customFormat="false" ht="12.75" hidden="false" customHeight="false" outlineLevel="0" collapsed="false">
      <c r="E434" s="2"/>
      <c r="F434" s="4"/>
      <c r="G434" s="109"/>
    </row>
    <row r="435" customFormat="false" ht="12.75" hidden="false" customHeight="false" outlineLevel="0" collapsed="false">
      <c r="E435" s="2"/>
      <c r="F435" s="4"/>
      <c r="G435" s="109"/>
    </row>
    <row r="436" customFormat="false" ht="12.75" hidden="false" customHeight="false" outlineLevel="0" collapsed="false">
      <c r="E436" s="2"/>
      <c r="F436" s="4"/>
      <c r="G436" s="109"/>
    </row>
    <row r="437" customFormat="false" ht="12.75" hidden="false" customHeight="false" outlineLevel="0" collapsed="false">
      <c r="E437" s="2"/>
      <c r="F437" s="4"/>
      <c r="G437" s="109"/>
    </row>
    <row r="438" customFormat="false" ht="12.75" hidden="false" customHeight="false" outlineLevel="0" collapsed="false">
      <c r="E438" s="2"/>
      <c r="F438" s="4"/>
      <c r="G438" s="109"/>
    </row>
    <row r="439" customFormat="false" ht="12.75" hidden="false" customHeight="false" outlineLevel="0" collapsed="false">
      <c r="E439" s="2"/>
      <c r="F439" s="4"/>
      <c r="G439" s="109"/>
    </row>
    <row r="440" customFormat="false" ht="12.75" hidden="false" customHeight="false" outlineLevel="0" collapsed="false">
      <c r="E440" s="2"/>
      <c r="F440" s="4"/>
      <c r="G440" s="109"/>
    </row>
    <row r="441" customFormat="false" ht="12.75" hidden="false" customHeight="false" outlineLevel="0" collapsed="false">
      <c r="E441" s="2"/>
      <c r="F441" s="4"/>
      <c r="G441" s="109"/>
    </row>
    <row r="442" customFormat="false" ht="12.75" hidden="false" customHeight="false" outlineLevel="0" collapsed="false">
      <c r="E442" s="2"/>
      <c r="F442" s="4"/>
      <c r="G442" s="109"/>
    </row>
    <row r="443" customFormat="false" ht="12.75" hidden="false" customHeight="false" outlineLevel="0" collapsed="false">
      <c r="E443" s="2"/>
      <c r="F443" s="4"/>
      <c r="G443" s="109"/>
    </row>
    <row r="444" customFormat="false" ht="12.75" hidden="false" customHeight="false" outlineLevel="0" collapsed="false">
      <c r="E444" s="2"/>
      <c r="F444" s="4"/>
      <c r="G444" s="109"/>
    </row>
    <row r="445" customFormat="false" ht="12.75" hidden="false" customHeight="false" outlineLevel="0" collapsed="false">
      <c r="E445" s="2"/>
      <c r="F445" s="4"/>
      <c r="G445" s="109"/>
    </row>
    <row r="446" customFormat="false" ht="12.75" hidden="false" customHeight="false" outlineLevel="0" collapsed="false">
      <c r="E446" s="2"/>
      <c r="F446" s="4"/>
      <c r="G446" s="109"/>
    </row>
    <row r="447" customFormat="false" ht="12.75" hidden="false" customHeight="false" outlineLevel="0" collapsed="false">
      <c r="E447" s="2"/>
      <c r="F447" s="4"/>
      <c r="G447" s="109"/>
    </row>
    <row r="448" customFormat="false" ht="12.75" hidden="false" customHeight="false" outlineLevel="0" collapsed="false">
      <c r="E448" s="2"/>
      <c r="F448" s="4"/>
      <c r="G448" s="109"/>
    </row>
    <row r="449" customFormat="false" ht="12.75" hidden="false" customHeight="false" outlineLevel="0" collapsed="false">
      <c r="E449" s="2"/>
      <c r="F449" s="4"/>
      <c r="G449" s="109"/>
    </row>
    <row r="450" customFormat="false" ht="12.75" hidden="false" customHeight="false" outlineLevel="0" collapsed="false">
      <c r="E450" s="2"/>
      <c r="F450" s="4"/>
      <c r="G450" s="109"/>
    </row>
    <row r="451" customFormat="false" ht="12.75" hidden="false" customHeight="false" outlineLevel="0" collapsed="false">
      <c r="E451" s="2"/>
      <c r="F451" s="4"/>
      <c r="G451" s="109"/>
    </row>
    <row r="452" customFormat="false" ht="12.75" hidden="false" customHeight="false" outlineLevel="0" collapsed="false">
      <c r="E452" s="2"/>
      <c r="F452" s="4"/>
      <c r="G452" s="109"/>
    </row>
    <row r="453" customFormat="false" ht="12.75" hidden="false" customHeight="false" outlineLevel="0" collapsed="false">
      <c r="E453" s="2"/>
      <c r="F453" s="4"/>
      <c r="G453" s="109"/>
    </row>
    <row r="454" customFormat="false" ht="12.75" hidden="false" customHeight="false" outlineLevel="0" collapsed="false">
      <c r="E454" s="2"/>
      <c r="F454" s="4"/>
      <c r="G454" s="109"/>
    </row>
    <row r="455" customFormat="false" ht="12.75" hidden="false" customHeight="false" outlineLevel="0" collapsed="false">
      <c r="E455" s="2"/>
      <c r="F455" s="4"/>
      <c r="G455" s="109"/>
    </row>
    <row r="456" customFormat="false" ht="12.75" hidden="false" customHeight="false" outlineLevel="0" collapsed="false">
      <c r="E456" s="2"/>
      <c r="F456" s="4"/>
      <c r="G456" s="109"/>
    </row>
    <row r="457" customFormat="false" ht="12.75" hidden="false" customHeight="false" outlineLevel="0" collapsed="false">
      <c r="E457" s="2"/>
      <c r="F457" s="4"/>
      <c r="G457" s="109"/>
    </row>
    <row r="458" customFormat="false" ht="12.75" hidden="false" customHeight="false" outlineLevel="0" collapsed="false">
      <c r="E458" s="2"/>
      <c r="F458" s="4"/>
      <c r="G458" s="109"/>
    </row>
    <row r="459" customFormat="false" ht="12.75" hidden="false" customHeight="false" outlineLevel="0" collapsed="false">
      <c r="E459" s="2"/>
      <c r="F459" s="4"/>
      <c r="G459" s="109"/>
    </row>
    <row r="460" customFormat="false" ht="12.75" hidden="false" customHeight="false" outlineLevel="0" collapsed="false">
      <c r="E460" s="2"/>
      <c r="F460" s="4"/>
      <c r="G460" s="109"/>
    </row>
    <row r="461" customFormat="false" ht="12.75" hidden="false" customHeight="false" outlineLevel="0" collapsed="false">
      <c r="E461" s="2"/>
      <c r="F461" s="4"/>
      <c r="G461" s="109"/>
    </row>
    <row r="462" customFormat="false" ht="12.75" hidden="false" customHeight="false" outlineLevel="0" collapsed="false">
      <c r="E462" s="2"/>
      <c r="F462" s="4"/>
      <c r="G462" s="109"/>
    </row>
    <row r="463" customFormat="false" ht="12.75" hidden="false" customHeight="false" outlineLevel="0" collapsed="false">
      <c r="E463" s="2"/>
      <c r="F463" s="4"/>
      <c r="G463" s="109"/>
    </row>
    <row r="464" customFormat="false" ht="12.75" hidden="false" customHeight="false" outlineLevel="0" collapsed="false">
      <c r="E464" s="2"/>
      <c r="F464" s="4"/>
      <c r="G464" s="109"/>
    </row>
    <row r="465" customFormat="false" ht="12.75" hidden="false" customHeight="false" outlineLevel="0" collapsed="false">
      <c r="E465" s="2"/>
      <c r="F465" s="4"/>
      <c r="G465" s="109"/>
    </row>
    <row r="466" customFormat="false" ht="12.75" hidden="false" customHeight="false" outlineLevel="0" collapsed="false">
      <c r="E466" s="2"/>
      <c r="F466" s="4"/>
      <c r="G466" s="109"/>
    </row>
    <row r="467" customFormat="false" ht="12.75" hidden="false" customHeight="false" outlineLevel="0" collapsed="false">
      <c r="E467" s="2"/>
      <c r="F467" s="4"/>
      <c r="G467" s="109"/>
    </row>
    <row r="468" customFormat="false" ht="12.75" hidden="false" customHeight="false" outlineLevel="0" collapsed="false">
      <c r="E468" s="2"/>
      <c r="F468" s="4"/>
      <c r="G468" s="109"/>
    </row>
    <row r="469" customFormat="false" ht="12.75" hidden="false" customHeight="false" outlineLevel="0" collapsed="false">
      <c r="E469" s="2"/>
      <c r="F469" s="4"/>
      <c r="G469" s="109"/>
    </row>
    <row r="470" customFormat="false" ht="12.75" hidden="false" customHeight="false" outlineLevel="0" collapsed="false">
      <c r="E470" s="2"/>
      <c r="F470" s="4"/>
      <c r="G470" s="109"/>
    </row>
    <row r="471" customFormat="false" ht="12.75" hidden="false" customHeight="false" outlineLevel="0" collapsed="false">
      <c r="E471" s="2"/>
      <c r="F471" s="4"/>
      <c r="G471" s="109"/>
    </row>
    <row r="472" customFormat="false" ht="12.75" hidden="false" customHeight="false" outlineLevel="0" collapsed="false">
      <c r="E472" s="2"/>
      <c r="F472" s="4"/>
      <c r="G472" s="109"/>
    </row>
    <row r="473" customFormat="false" ht="12.75" hidden="false" customHeight="false" outlineLevel="0" collapsed="false">
      <c r="E473" s="2"/>
      <c r="F473" s="4"/>
      <c r="G473" s="109"/>
    </row>
    <row r="474" customFormat="false" ht="12.75" hidden="false" customHeight="false" outlineLevel="0" collapsed="false">
      <c r="E474" s="2"/>
      <c r="F474" s="4"/>
      <c r="G474" s="109"/>
    </row>
    <row r="475" customFormat="false" ht="12.75" hidden="false" customHeight="false" outlineLevel="0" collapsed="false">
      <c r="E475" s="2"/>
      <c r="F475" s="4"/>
      <c r="G475" s="109"/>
    </row>
    <row r="476" customFormat="false" ht="12.75" hidden="false" customHeight="false" outlineLevel="0" collapsed="false">
      <c r="E476" s="2"/>
      <c r="F476" s="4"/>
      <c r="G476" s="109"/>
    </row>
    <row r="477" customFormat="false" ht="12.75" hidden="false" customHeight="false" outlineLevel="0" collapsed="false">
      <c r="E477" s="2"/>
      <c r="F477" s="4"/>
      <c r="G477" s="109"/>
    </row>
    <row r="478" customFormat="false" ht="12.75" hidden="false" customHeight="false" outlineLevel="0" collapsed="false">
      <c r="E478" s="2"/>
      <c r="F478" s="4"/>
      <c r="G478" s="109"/>
    </row>
    <row r="479" customFormat="false" ht="12.75" hidden="false" customHeight="false" outlineLevel="0" collapsed="false">
      <c r="E479" s="2"/>
      <c r="F479" s="4"/>
      <c r="G479" s="109"/>
    </row>
    <row r="480" customFormat="false" ht="12.75" hidden="false" customHeight="false" outlineLevel="0" collapsed="false">
      <c r="E480" s="2"/>
      <c r="F480" s="4"/>
      <c r="G480" s="109"/>
    </row>
    <row r="481" customFormat="false" ht="12.75" hidden="false" customHeight="false" outlineLevel="0" collapsed="false">
      <c r="E481" s="2"/>
      <c r="F481" s="4"/>
      <c r="G481" s="109"/>
    </row>
    <row r="482" customFormat="false" ht="12.75" hidden="false" customHeight="false" outlineLevel="0" collapsed="false">
      <c r="E482" s="2"/>
      <c r="F482" s="4"/>
      <c r="G482" s="109"/>
    </row>
    <row r="483" customFormat="false" ht="12.75" hidden="false" customHeight="false" outlineLevel="0" collapsed="false">
      <c r="E483" s="2"/>
      <c r="F483" s="4"/>
      <c r="G483" s="109"/>
    </row>
    <row r="484" customFormat="false" ht="12.75" hidden="false" customHeight="false" outlineLevel="0" collapsed="false">
      <c r="E484" s="2"/>
      <c r="F484" s="4"/>
      <c r="G484" s="109"/>
    </row>
    <row r="485" customFormat="false" ht="12.75" hidden="false" customHeight="false" outlineLevel="0" collapsed="false">
      <c r="E485" s="2"/>
      <c r="F485" s="4"/>
      <c r="G485" s="109"/>
    </row>
    <row r="486" customFormat="false" ht="12.75" hidden="false" customHeight="false" outlineLevel="0" collapsed="false">
      <c r="E486" s="2"/>
      <c r="F486" s="4"/>
      <c r="G486" s="109"/>
    </row>
    <row r="487" customFormat="false" ht="12.75" hidden="false" customHeight="false" outlineLevel="0" collapsed="false">
      <c r="E487" s="2"/>
      <c r="F487" s="4"/>
      <c r="G487" s="109"/>
    </row>
    <row r="488" customFormat="false" ht="12.75" hidden="false" customHeight="false" outlineLevel="0" collapsed="false">
      <c r="E488" s="2"/>
      <c r="F488" s="4"/>
      <c r="G488" s="109"/>
    </row>
    <row r="489" customFormat="false" ht="12.75" hidden="false" customHeight="false" outlineLevel="0" collapsed="false">
      <c r="E489" s="2"/>
      <c r="F489" s="4"/>
      <c r="G489" s="109"/>
    </row>
    <row r="490" customFormat="false" ht="12.75" hidden="false" customHeight="false" outlineLevel="0" collapsed="false">
      <c r="E490" s="2"/>
      <c r="F490" s="4"/>
      <c r="G490" s="109"/>
    </row>
    <row r="491" customFormat="false" ht="12.75" hidden="false" customHeight="false" outlineLevel="0" collapsed="false">
      <c r="E491" s="2"/>
      <c r="F491" s="4"/>
      <c r="G491" s="109"/>
    </row>
    <row r="492" customFormat="false" ht="12.75" hidden="false" customHeight="false" outlineLevel="0" collapsed="false">
      <c r="E492" s="2"/>
      <c r="F492" s="4"/>
      <c r="G492" s="109"/>
    </row>
    <row r="493" customFormat="false" ht="12.75" hidden="false" customHeight="false" outlineLevel="0" collapsed="false">
      <c r="E493" s="2"/>
      <c r="F493" s="4"/>
      <c r="G493" s="109"/>
    </row>
    <row r="494" customFormat="false" ht="12.75" hidden="false" customHeight="false" outlineLevel="0" collapsed="false">
      <c r="E494" s="2"/>
      <c r="F494" s="4"/>
      <c r="G494" s="109"/>
    </row>
    <row r="495" customFormat="false" ht="12.75" hidden="false" customHeight="false" outlineLevel="0" collapsed="false">
      <c r="E495" s="2"/>
      <c r="F495" s="4"/>
      <c r="G495" s="109"/>
    </row>
    <row r="496" customFormat="false" ht="12.75" hidden="false" customHeight="false" outlineLevel="0" collapsed="false">
      <c r="E496" s="2"/>
      <c r="F496" s="4"/>
      <c r="G496" s="109"/>
    </row>
    <row r="497" customFormat="false" ht="12.75" hidden="false" customHeight="false" outlineLevel="0" collapsed="false">
      <c r="E497" s="2"/>
      <c r="F497" s="4"/>
      <c r="G497" s="109"/>
    </row>
    <row r="498" customFormat="false" ht="12.75" hidden="false" customHeight="false" outlineLevel="0" collapsed="false">
      <c r="E498" s="2"/>
      <c r="F498" s="4"/>
      <c r="G498" s="109"/>
    </row>
    <row r="499" customFormat="false" ht="12.75" hidden="false" customHeight="false" outlineLevel="0" collapsed="false">
      <c r="E499" s="2"/>
      <c r="F499" s="4"/>
      <c r="G499" s="109"/>
    </row>
    <row r="500" customFormat="false" ht="12.75" hidden="false" customHeight="false" outlineLevel="0" collapsed="false">
      <c r="E500" s="2"/>
      <c r="F500" s="4"/>
      <c r="G500" s="109"/>
    </row>
    <row r="501" customFormat="false" ht="12.75" hidden="false" customHeight="false" outlineLevel="0" collapsed="false">
      <c r="E501" s="2"/>
      <c r="F501" s="4"/>
      <c r="G501" s="109"/>
    </row>
    <row r="502" customFormat="false" ht="12.75" hidden="false" customHeight="false" outlineLevel="0" collapsed="false">
      <c r="E502" s="2"/>
      <c r="F502" s="4"/>
      <c r="G502" s="109"/>
    </row>
    <row r="503" customFormat="false" ht="12.75" hidden="false" customHeight="false" outlineLevel="0" collapsed="false">
      <c r="E503" s="2"/>
      <c r="F503" s="4"/>
      <c r="G503" s="109"/>
    </row>
    <row r="504" customFormat="false" ht="12.75" hidden="false" customHeight="false" outlineLevel="0" collapsed="false">
      <c r="E504" s="2"/>
      <c r="F504" s="4"/>
      <c r="G504" s="109"/>
    </row>
    <row r="505" customFormat="false" ht="12.75" hidden="false" customHeight="false" outlineLevel="0" collapsed="false">
      <c r="E505" s="2"/>
      <c r="F505" s="4"/>
      <c r="G505" s="109"/>
    </row>
    <row r="506" customFormat="false" ht="12.75" hidden="false" customHeight="false" outlineLevel="0" collapsed="false">
      <c r="E506" s="2"/>
      <c r="F506" s="4"/>
      <c r="G506" s="109"/>
    </row>
    <row r="507" customFormat="false" ht="12.75" hidden="false" customHeight="false" outlineLevel="0" collapsed="false">
      <c r="E507" s="2"/>
      <c r="F507" s="4"/>
      <c r="G507" s="109"/>
    </row>
    <row r="508" customFormat="false" ht="12.75" hidden="false" customHeight="false" outlineLevel="0" collapsed="false">
      <c r="E508" s="2"/>
      <c r="F508" s="4"/>
      <c r="G508" s="109"/>
    </row>
    <row r="509" customFormat="false" ht="12.75" hidden="false" customHeight="false" outlineLevel="0" collapsed="false">
      <c r="E509" s="2"/>
      <c r="F509" s="4"/>
      <c r="G509" s="109"/>
    </row>
    <row r="510" customFormat="false" ht="12.75" hidden="false" customHeight="false" outlineLevel="0" collapsed="false">
      <c r="E510" s="2"/>
      <c r="F510" s="4"/>
      <c r="G510" s="109"/>
    </row>
    <row r="511" customFormat="false" ht="12.75" hidden="false" customHeight="false" outlineLevel="0" collapsed="false">
      <c r="E511" s="2"/>
      <c r="F511" s="4"/>
      <c r="G511" s="109"/>
    </row>
    <row r="512" customFormat="false" ht="12.75" hidden="false" customHeight="false" outlineLevel="0" collapsed="false">
      <c r="E512" s="2"/>
      <c r="F512" s="4"/>
      <c r="G512" s="109"/>
    </row>
    <row r="513" customFormat="false" ht="12.75" hidden="false" customHeight="false" outlineLevel="0" collapsed="false">
      <c r="E513" s="2"/>
      <c r="F513" s="4"/>
      <c r="G513" s="109"/>
    </row>
    <row r="514" customFormat="false" ht="12.75" hidden="false" customHeight="false" outlineLevel="0" collapsed="false">
      <c r="E514" s="2"/>
      <c r="F514" s="4"/>
      <c r="G514" s="109"/>
    </row>
    <row r="515" customFormat="false" ht="12.75" hidden="false" customHeight="false" outlineLevel="0" collapsed="false">
      <c r="E515" s="2"/>
      <c r="F515" s="4"/>
      <c r="G515" s="109"/>
    </row>
    <row r="516" customFormat="false" ht="12.75" hidden="false" customHeight="false" outlineLevel="0" collapsed="false">
      <c r="E516" s="2"/>
      <c r="F516" s="4"/>
      <c r="G516" s="109"/>
    </row>
    <row r="517" customFormat="false" ht="12.75" hidden="false" customHeight="false" outlineLevel="0" collapsed="false">
      <c r="E517" s="2"/>
      <c r="F517" s="4"/>
      <c r="G517" s="109"/>
    </row>
    <row r="518" customFormat="false" ht="12.75" hidden="false" customHeight="false" outlineLevel="0" collapsed="false">
      <c r="E518" s="2"/>
      <c r="F518" s="4"/>
      <c r="G518" s="109"/>
    </row>
    <row r="519" customFormat="false" ht="12.75" hidden="false" customHeight="false" outlineLevel="0" collapsed="false">
      <c r="E519" s="2"/>
      <c r="F519" s="4"/>
      <c r="G519" s="109"/>
    </row>
    <row r="520" customFormat="false" ht="12.75" hidden="false" customHeight="false" outlineLevel="0" collapsed="false">
      <c r="E520" s="2"/>
      <c r="F520" s="4"/>
      <c r="G520" s="109"/>
    </row>
    <row r="521" customFormat="false" ht="12.75" hidden="false" customHeight="false" outlineLevel="0" collapsed="false">
      <c r="E521" s="2"/>
      <c r="F521" s="4"/>
      <c r="G521" s="109"/>
    </row>
    <row r="522" customFormat="false" ht="12.75" hidden="false" customHeight="false" outlineLevel="0" collapsed="false">
      <c r="E522" s="2"/>
      <c r="F522" s="4"/>
      <c r="G522" s="109"/>
    </row>
    <row r="523" customFormat="false" ht="12.75" hidden="false" customHeight="false" outlineLevel="0" collapsed="false">
      <c r="E523" s="2"/>
      <c r="F523" s="4"/>
      <c r="G523" s="109"/>
    </row>
    <row r="524" customFormat="false" ht="12.75" hidden="false" customHeight="false" outlineLevel="0" collapsed="false">
      <c r="E524" s="2"/>
      <c r="F524" s="4"/>
      <c r="G524" s="109"/>
    </row>
    <row r="525" customFormat="false" ht="12.75" hidden="false" customHeight="false" outlineLevel="0" collapsed="false">
      <c r="E525" s="2"/>
      <c r="F525" s="4"/>
      <c r="G525" s="109"/>
    </row>
    <row r="526" customFormat="false" ht="12.75" hidden="false" customHeight="false" outlineLevel="0" collapsed="false">
      <c r="E526" s="2"/>
      <c r="F526" s="4"/>
      <c r="G526" s="109"/>
    </row>
    <row r="527" customFormat="false" ht="12.75" hidden="false" customHeight="false" outlineLevel="0" collapsed="false">
      <c r="E527" s="2"/>
      <c r="F527" s="4"/>
      <c r="G527" s="109"/>
    </row>
    <row r="528" customFormat="false" ht="12.75" hidden="false" customHeight="false" outlineLevel="0" collapsed="false">
      <c r="E528" s="2"/>
      <c r="F528" s="4"/>
      <c r="G528" s="109"/>
    </row>
    <row r="529" customFormat="false" ht="12.75" hidden="false" customHeight="false" outlineLevel="0" collapsed="false">
      <c r="E529" s="2"/>
      <c r="F529" s="4"/>
      <c r="G529" s="109"/>
    </row>
    <row r="530" customFormat="false" ht="12.75" hidden="false" customHeight="false" outlineLevel="0" collapsed="false">
      <c r="E530" s="2"/>
      <c r="F530" s="4"/>
      <c r="G530" s="109"/>
    </row>
    <row r="531" customFormat="false" ht="12.75" hidden="false" customHeight="false" outlineLevel="0" collapsed="false">
      <c r="E531" s="2"/>
      <c r="F531" s="4"/>
      <c r="G531" s="109"/>
    </row>
    <row r="532" customFormat="false" ht="12.75" hidden="false" customHeight="false" outlineLevel="0" collapsed="false">
      <c r="E532" s="2"/>
      <c r="F532" s="4"/>
      <c r="G532" s="109"/>
    </row>
    <row r="533" customFormat="false" ht="12.75" hidden="false" customHeight="false" outlineLevel="0" collapsed="false">
      <c r="E533" s="2"/>
      <c r="F533" s="4"/>
      <c r="G533" s="109"/>
    </row>
    <row r="534" customFormat="false" ht="12.75" hidden="false" customHeight="false" outlineLevel="0" collapsed="false">
      <c r="E534" s="2"/>
      <c r="F534" s="4"/>
      <c r="G534" s="109"/>
    </row>
    <row r="535" customFormat="false" ht="12.75" hidden="false" customHeight="false" outlineLevel="0" collapsed="false">
      <c r="E535" s="2"/>
      <c r="F535" s="4"/>
      <c r="G535" s="109"/>
    </row>
    <row r="536" customFormat="false" ht="12.75" hidden="false" customHeight="false" outlineLevel="0" collapsed="false">
      <c r="E536" s="2"/>
      <c r="F536" s="4"/>
      <c r="G536" s="109"/>
    </row>
    <row r="537" customFormat="false" ht="12.75" hidden="false" customHeight="false" outlineLevel="0" collapsed="false">
      <c r="E537" s="2"/>
      <c r="F537" s="4"/>
      <c r="G537" s="109"/>
    </row>
    <row r="538" customFormat="false" ht="12.75" hidden="false" customHeight="false" outlineLevel="0" collapsed="false">
      <c r="E538" s="2"/>
      <c r="F538" s="4"/>
      <c r="G538" s="109"/>
    </row>
    <row r="539" customFormat="false" ht="12.75" hidden="false" customHeight="false" outlineLevel="0" collapsed="false">
      <c r="E539" s="2"/>
      <c r="F539" s="4"/>
      <c r="G539" s="109"/>
    </row>
    <row r="540" customFormat="false" ht="12.75" hidden="false" customHeight="false" outlineLevel="0" collapsed="false">
      <c r="E540" s="2"/>
      <c r="F540" s="4"/>
      <c r="G540" s="109"/>
    </row>
    <row r="541" customFormat="false" ht="12.75" hidden="false" customHeight="false" outlineLevel="0" collapsed="false">
      <c r="E541" s="2"/>
      <c r="F541" s="4"/>
      <c r="G541" s="109"/>
    </row>
    <row r="542" customFormat="false" ht="12.75" hidden="false" customHeight="false" outlineLevel="0" collapsed="false">
      <c r="E542" s="2"/>
      <c r="F542" s="4"/>
      <c r="G542" s="109"/>
    </row>
    <row r="543" customFormat="false" ht="12.75" hidden="false" customHeight="false" outlineLevel="0" collapsed="false">
      <c r="E543" s="2"/>
      <c r="F543" s="4"/>
      <c r="G543" s="109"/>
    </row>
    <row r="544" customFormat="false" ht="12.75" hidden="false" customHeight="false" outlineLevel="0" collapsed="false">
      <c r="E544" s="2"/>
      <c r="F544" s="4"/>
      <c r="G544" s="109"/>
    </row>
    <row r="545" customFormat="false" ht="12.75" hidden="false" customHeight="false" outlineLevel="0" collapsed="false">
      <c r="E545" s="2"/>
      <c r="F545" s="4"/>
      <c r="G545" s="109"/>
    </row>
    <row r="546" customFormat="false" ht="12.75" hidden="false" customHeight="false" outlineLevel="0" collapsed="false">
      <c r="E546" s="2"/>
      <c r="F546" s="4"/>
      <c r="G546" s="109"/>
    </row>
    <row r="547" customFormat="false" ht="12.75" hidden="false" customHeight="false" outlineLevel="0" collapsed="false">
      <c r="E547" s="2"/>
      <c r="F547" s="4"/>
      <c r="G547" s="109"/>
    </row>
    <row r="548" customFormat="false" ht="12.75" hidden="false" customHeight="false" outlineLevel="0" collapsed="false">
      <c r="E548" s="2"/>
      <c r="F548" s="4"/>
      <c r="G548" s="109"/>
    </row>
    <row r="549" customFormat="false" ht="12.75" hidden="false" customHeight="false" outlineLevel="0" collapsed="false">
      <c r="E549" s="2"/>
      <c r="F549" s="4"/>
      <c r="G549" s="109"/>
    </row>
    <row r="550" customFormat="false" ht="12.75" hidden="false" customHeight="false" outlineLevel="0" collapsed="false">
      <c r="E550" s="2"/>
      <c r="F550" s="4"/>
      <c r="G550" s="109"/>
    </row>
    <row r="551" customFormat="false" ht="12.75" hidden="false" customHeight="false" outlineLevel="0" collapsed="false">
      <c r="E551" s="2"/>
      <c r="F551" s="4"/>
      <c r="G551" s="109"/>
    </row>
    <row r="552" customFormat="false" ht="12.75" hidden="false" customHeight="false" outlineLevel="0" collapsed="false">
      <c r="E552" s="2"/>
      <c r="F552" s="4"/>
      <c r="G552" s="109"/>
    </row>
    <row r="553" customFormat="false" ht="12.75" hidden="false" customHeight="false" outlineLevel="0" collapsed="false">
      <c r="E553" s="2"/>
      <c r="F553" s="4"/>
      <c r="G553" s="109"/>
    </row>
    <row r="554" customFormat="false" ht="12.75" hidden="false" customHeight="false" outlineLevel="0" collapsed="false">
      <c r="E554" s="2"/>
      <c r="F554" s="4"/>
      <c r="G554" s="109"/>
    </row>
    <row r="555" customFormat="false" ht="12.75" hidden="false" customHeight="false" outlineLevel="0" collapsed="false">
      <c r="E555" s="2"/>
      <c r="F555" s="4"/>
      <c r="G555" s="109"/>
    </row>
    <row r="556" customFormat="false" ht="12.75" hidden="false" customHeight="false" outlineLevel="0" collapsed="false">
      <c r="E556" s="2"/>
      <c r="F556" s="4"/>
      <c r="G556" s="109"/>
    </row>
    <row r="557" customFormat="false" ht="12.75" hidden="false" customHeight="false" outlineLevel="0" collapsed="false">
      <c r="E557" s="2"/>
      <c r="F557" s="4"/>
      <c r="G557" s="109"/>
    </row>
    <row r="558" customFormat="false" ht="12.75" hidden="false" customHeight="false" outlineLevel="0" collapsed="false">
      <c r="E558" s="2"/>
      <c r="F558" s="4"/>
      <c r="G558" s="109"/>
    </row>
    <row r="559" customFormat="false" ht="12.75" hidden="false" customHeight="false" outlineLevel="0" collapsed="false">
      <c r="E559" s="2"/>
      <c r="F559" s="4"/>
      <c r="G559" s="109"/>
    </row>
    <row r="560" customFormat="false" ht="12.75" hidden="false" customHeight="false" outlineLevel="0" collapsed="false">
      <c r="E560" s="2"/>
      <c r="F560" s="4"/>
      <c r="G560" s="109"/>
    </row>
    <row r="561" customFormat="false" ht="12.75" hidden="false" customHeight="false" outlineLevel="0" collapsed="false">
      <c r="E561" s="2"/>
      <c r="F561" s="4"/>
      <c r="G561" s="109"/>
    </row>
    <row r="562" customFormat="false" ht="12.75" hidden="false" customHeight="false" outlineLevel="0" collapsed="false">
      <c r="E562" s="2"/>
      <c r="F562" s="4"/>
      <c r="G562" s="109"/>
    </row>
    <row r="563" customFormat="false" ht="12.75" hidden="false" customHeight="false" outlineLevel="0" collapsed="false">
      <c r="E563" s="2"/>
      <c r="F563" s="4"/>
      <c r="G563" s="109"/>
    </row>
    <row r="564" customFormat="false" ht="12.75" hidden="false" customHeight="false" outlineLevel="0" collapsed="false">
      <c r="E564" s="2"/>
      <c r="F564" s="4"/>
      <c r="G564" s="109"/>
    </row>
    <row r="565" customFormat="false" ht="12.75" hidden="false" customHeight="false" outlineLevel="0" collapsed="false">
      <c r="E565" s="2"/>
      <c r="F565" s="4"/>
      <c r="G565" s="109"/>
    </row>
    <row r="566" customFormat="false" ht="12.75" hidden="false" customHeight="false" outlineLevel="0" collapsed="false">
      <c r="E566" s="2"/>
      <c r="F566" s="4"/>
      <c r="G566" s="109"/>
    </row>
    <row r="567" customFormat="false" ht="12.75" hidden="false" customHeight="false" outlineLevel="0" collapsed="false">
      <c r="E567" s="2"/>
      <c r="F567" s="4"/>
      <c r="G567" s="109"/>
    </row>
    <row r="568" customFormat="false" ht="12.75" hidden="false" customHeight="false" outlineLevel="0" collapsed="false">
      <c r="E568" s="2"/>
      <c r="F568" s="4"/>
      <c r="G568" s="109"/>
    </row>
    <row r="569" customFormat="false" ht="12.75" hidden="false" customHeight="false" outlineLevel="0" collapsed="false">
      <c r="E569" s="2"/>
      <c r="F569" s="4"/>
      <c r="G569" s="109"/>
    </row>
    <row r="570" customFormat="false" ht="12.75" hidden="false" customHeight="false" outlineLevel="0" collapsed="false">
      <c r="E570" s="2"/>
      <c r="F570" s="4"/>
      <c r="G570" s="109"/>
    </row>
    <row r="571" customFormat="false" ht="12.75" hidden="false" customHeight="false" outlineLevel="0" collapsed="false">
      <c r="E571" s="2"/>
      <c r="F571" s="4"/>
      <c r="G571" s="109"/>
    </row>
    <row r="572" customFormat="false" ht="12.75" hidden="false" customHeight="false" outlineLevel="0" collapsed="false">
      <c r="E572" s="2"/>
      <c r="F572" s="4"/>
      <c r="G572" s="109"/>
    </row>
    <row r="573" customFormat="false" ht="12.75" hidden="false" customHeight="false" outlineLevel="0" collapsed="false">
      <c r="E573" s="2"/>
      <c r="F573" s="4"/>
      <c r="G573" s="109"/>
    </row>
    <row r="574" customFormat="false" ht="12.75" hidden="false" customHeight="false" outlineLevel="0" collapsed="false">
      <c r="E574" s="2"/>
      <c r="F574" s="4"/>
      <c r="G574" s="109"/>
    </row>
    <row r="575" customFormat="false" ht="12.75" hidden="false" customHeight="false" outlineLevel="0" collapsed="false">
      <c r="E575" s="2"/>
      <c r="F575" s="4"/>
      <c r="G575" s="109"/>
    </row>
    <row r="576" customFormat="false" ht="12.75" hidden="false" customHeight="false" outlineLevel="0" collapsed="false">
      <c r="E576" s="2"/>
      <c r="F576" s="4"/>
      <c r="G576" s="109"/>
    </row>
    <row r="577" customFormat="false" ht="12.75" hidden="false" customHeight="false" outlineLevel="0" collapsed="false">
      <c r="E577" s="2"/>
      <c r="F577" s="4"/>
      <c r="G577" s="109"/>
    </row>
    <row r="578" customFormat="false" ht="12.75" hidden="false" customHeight="false" outlineLevel="0" collapsed="false">
      <c r="E578" s="2"/>
      <c r="F578" s="4"/>
      <c r="G578" s="109"/>
    </row>
    <row r="579" customFormat="false" ht="12.75" hidden="false" customHeight="false" outlineLevel="0" collapsed="false">
      <c r="E579" s="2"/>
      <c r="F579" s="4"/>
      <c r="G579" s="109"/>
    </row>
    <row r="580" customFormat="false" ht="12.75" hidden="false" customHeight="false" outlineLevel="0" collapsed="false">
      <c r="E580" s="2"/>
      <c r="F580" s="4"/>
      <c r="G580" s="109"/>
    </row>
    <row r="581" customFormat="false" ht="12.75" hidden="false" customHeight="false" outlineLevel="0" collapsed="false">
      <c r="E581" s="2"/>
      <c r="F581" s="4"/>
      <c r="G581" s="109"/>
    </row>
    <row r="582" customFormat="false" ht="12.75" hidden="false" customHeight="false" outlineLevel="0" collapsed="false">
      <c r="E582" s="2"/>
      <c r="F582" s="4"/>
      <c r="G582" s="109"/>
    </row>
    <row r="583" customFormat="false" ht="12.75" hidden="false" customHeight="false" outlineLevel="0" collapsed="false">
      <c r="E583" s="2"/>
      <c r="F583" s="4"/>
      <c r="G583" s="109"/>
    </row>
    <row r="584" customFormat="false" ht="12.75" hidden="false" customHeight="false" outlineLevel="0" collapsed="false">
      <c r="E584" s="2"/>
      <c r="F584" s="4"/>
      <c r="G584" s="109"/>
    </row>
    <row r="585" customFormat="false" ht="12.75" hidden="false" customHeight="false" outlineLevel="0" collapsed="false">
      <c r="E585" s="2"/>
      <c r="F585" s="4"/>
      <c r="G585" s="109"/>
    </row>
    <row r="586" customFormat="false" ht="12.75" hidden="false" customHeight="false" outlineLevel="0" collapsed="false">
      <c r="E586" s="2"/>
      <c r="F586" s="4"/>
      <c r="G586" s="109"/>
    </row>
    <row r="587" customFormat="false" ht="12.75" hidden="false" customHeight="false" outlineLevel="0" collapsed="false">
      <c r="E587" s="2"/>
      <c r="F587" s="4"/>
      <c r="G587" s="109"/>
    </row>
    <row r="588" customFormat="false" ht="12.75" hidden="false" customHeight="false" outlineLevel="0" collapsed="false">
      <c r="E588" s="2"/>
      <c r="F588" s="4"/>
      <c r="G588" s="109"/>
    </row>
    <row r="589" customFormat="false" ht="12.75" hidden="false" customHeight="false" outlineLevel="0" collapsed="false">
      <c r="E589" s="2"/>
      <c r="F589" s="4"/>
      <c r="G589" s="109"/>
    </row>
    <row r="590" customFormat="false" ht="12.75" hidden="false" customHeight="false" outlineLevel="0" collapsed="false">
      <c r="E590" s="2"/>
      <c r="F590" s="4"/>
      <c r="G590" s="109"/>
    </row>
    <row r="591" customFormat="false" ht="12.75" hidden="false" customHeight="false" outlineLevel="0" collapsed="false">
      <c r="E591" s="2"/>
      <c r="F591" s="4"/>
      <c r="G591" s="109"/>
    </row>
    <row r="592" customFormat="false" ht="12.75" hidden="false" customHeight="false" outlineLevel="0" collapsed="false">
      <c r="E592" s="2"/>
      <c r="F592" s="4"/>
      <c r="G592" s="109"/>
    </row>
    <row r="593" customFormat="false" ht="12.75" hidden="false" customHeight="false" outlineLevel="0" collapsed="false">
      <c r="E593" s="2"/>
      <c r="F593" s="4"/>
      <c r="G593" s="109"/>
    </row>
    <row r="594" customFormat="false" ht="12.75" hidden="false" customHeight="false" outlineLevel="0" collapsed="false">
      <c r="E594" s="2"/>
      <c r="F594" s="4"/>
      <c r="G594" s="109"/>
    </row>
    <row r="595" customFormat="false" ht="12.75" hidden="false" customHeight="false" outlineLevel="0" collapsed="false">
      <c r="E595" s="2"/>
      <c r="F595" s="4"/>
      <c r="G595" s="109"/>
    </row>
    <row r="596" customFormat="false" ht="12.75" hidden="false" customHeight="false" outlineLevel="0" collapsed="false">
      <c r="E596" s="2"/>
      <c r="F596" s="4"/>
      <c r="G596" s="109"/>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65">
    <mergeCell ref="B5:D6"/>
    <mergeCell ref="E5:G5"/>
    <mergeCell ref="I5:I6"/>
    <mergeCell ref="B31:D31"/>
    <mergeCell ref="B32:D32"/>
    <mergeCell ref="B33:D33"/>
    <mergeCell ref="B34:D34"/>
    <mergeCell ref="B109:D109"/>
    <mergeCell ref="B110:D111"/>
    <mergeCell ref="E110:G110"/>
    <mergeCell ref="I110:I111"/>
    <mergeCell ref="B112:D112"/>
    <mergeCell ref="B113:D113"/>
    <mergeCell ref="B114:D114"/>
    <mergeCell ref="B115:D115"/>
    <mergeCell ref="B116:D116"/>
    <mergeCell ref="B117:D117"/>
    <mergeCell ref="B118:D118"/>
    <mergeCell ref="B119:D119"/>
    <mergeCell ref="B120:D120"/>
    <mergeCell ref="B121:D121"/>
    <mergeCell ref="B122:D122"/>
    <mergeCell ref="B124:D124"/>
    <mergeCell ref="B125:D126"/>
    <mergeCell ref="E125:G125"/>
    <mergeCell ref="I125:I126"/>
    <mergeCell ref="B131:D131"/>
    <mergeCell ref="B132:D133"/>
    <mergeCell ref="E132:G132"/>
    <mergeCell ref="I132:I133"/>
    <mergeCell ref="B134:D134"/>
    <mergeCell ref="B135:D135"/>
    <mergeCell ref="B137:D137"/>
    <mergeCell ref="B147:D147"/>
    <mergeCell ref="B148:D148"/>
    <mergeCell ref="B152:D152"/>
    <mergeCell ref="B153:D153"/>
    <mergeCell ref="B154:D154"/>
    <mergeCell ref="B155:D156"/>
    <mergeCell ref="E155:G155"/>
    <mergeCell ref="I155:I156"/>
    <mergeCell ref="B157:D157"/>
    <mergeCell ref="B158:D158"/>
    <mergeCell ref="B166:D166"/>
    <mergeCell ref="B167:D167"/>
    <mergeCell ref="B168:D168"/>
    <mergeCell ref="B169:D169"/>
    <mergeCell ref="B170:D170"/>
    <mergeCell ref="B198:D198"/>
    <mergeCell ref="B199:D199"/>
    <mergeCell ref="B200:D201"/>
    <mergeCell ref="E200:G200"/>
    <mergeCell ref="I200:I201"/>
    <mergeCell ref="B202:D202"/>
    <mergeCell ref="B203:D203"/>
    <mergeCell ref="B205:D205"/>
    <mergeCell ref="B215:D215"/>
    <mergeCell ref="B216:D216"/>
    <mergeCell ref="B217:D217"/>
    <mergeCell ref="B218:D218"/>
    <mergeCell ref="B219:D219"/>
    <mergeCell ref="B220:D220"/>
    <mergeCell ref="B221:D221"/>
    <mergeCell ref="B235:D235"/>
    <mergeCell ref="B236:D236"/>
  </mergeCells>
  <printOptions headings="false" gridLines="false" gridLinesSet="true" horizontalCentered="true" verticalCentered="false"/>
  <pageMargins left="0.25" right="0.25" top="0.5" bottom="0.65" header="0.25" footer="0.25"/>
  <pageSetup paperSize="1" scale="90" fitToWidth="1" fitToHeight="1" pageOrder="downThenOver" orientation="portrait" blackAndWhite="false" draft="false" cellComments="none" horizontalDpi="300" verticalDpi="300" copies="1"/>
  <headerFooter differentFirst="false" differentOddEven="false">
    <oddHeader>&amp;R&amp;8&amp;D</oddHeader>
    <oddFooter>&amp;R&amp;8&amp;P</oddFooter>
  </headerFooter>
</worksheet>
</file>

<file path=docProps/app.xml><?xml version="1.0" encoding="utf-8"?>
<Properties xmlns="http://schemas.openxmlformats.org/officeDocument/2006/extended-properties" xmlns:vt="http://schemas.openxmlformats.org/officeDocument/2006/docPropsVTypes">
  <Template/>
  <TotalTime>27</TotalTime>
  <Application>Collabora_Office/25.04.3.1$Linux_X86_64 LibreOffice_project/531aea4c7d77542af7803c02dd62362e5ef4f882</Application>
  <AppVersion>15.0000</AppVersion>
  <Company>RestaurantOwner.com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2017-18 by RestaurantOwner.com</cp:category>
  <dcterms:created xsi:type="dcterms:W3CDTF">2002-09-30T20:46:38Z</dcterms:created>
  <dc:creator>Jim Laube</dc:creator>
  <dc:description>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2014 by RestaurantOwner.com</dc:description>
  <dc:language>en-US</dc:language>
  <cp:lastModifiedBy/>
  <cp:lastPrinted>2025-06-28T21:32:53Z</cp:lastPrinted>
  <dcterms:modified xsi:type="dcterms:W3CDTF">2025-08-02T16:38:59Z</dcterms:modified>
  <cp:revision>5</cp:revision>
  <dc:subject/>
  <dc:title>Food &amp; Beverage Inventory</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2058542315</vt:i4>
  </property>
  <property fmtid="{D5CDD505-2E9C-101B-9397-08002B2CF9AE}" pid="3" name="_AuthorEmail">
    <vt:lpwstr>fna@pdq.net</vt:lpwstr>
  </property>
  <property fmtid="{D5CDD505-2E9C-101B-9397-08002B2CF9AE}" pid="4" name="_AuthorEmailDisplayName">
    <vt:lpwstr>Frank Audesirk</vt:lpwstr>
  </property>
  <property fmtid="{D5CDD505-2E9C-101B-9397-08002B2CF9AE}" pid="5" name="_EmailSubject">
    <vt:lpwstr>inventory</vt:lpwstr>
  </property>
  <property fmtid="{D5CDD505-2E9C-101B-9397-08002B2CF9AE}" pid="6" name="_ReviewingToolsShownOnce">
    <vt:lpwstr/>
  </property>
</Properties>
</file>