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ustomProperty1.bin" ContentType="application/vnd.openxmlformats-officedocument.spreadsheetml.customProperty"/>
  <Override PartName="/xl/customProperty2.bin" ContentType="application/vnd.openxmlformats-officedocument.spreadsheetml.customProperty"/>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defaultThemeVersion="124226"/>
  <bookViews>
    <workbookView xWindow="0" yWindow="495" windowWidth="23280" windowHeight="15600"/>
  </bookViews>
  <sheets>
    <sheet name="Updated Order GFS Order Guide " sheetId="3" r:id="rId1"/>
    <sheet name="Original" sheetId="1" r:id="rId2"/>
    <sheet name="OG Beverage Order sheet" sheetId="2" r:id="rId3"/>
  </sheets>
  <definedNames>
    <definedName name="_xlnm.Print_Area" localSheetId="2">'OG Beverage Order sheet'!$B$1:$L$102</definedName>
    <definedName name="_xlnm.Print_Area" localSheetId="1">Original!$C$1:$I$60</definedName>
    <definedName name="_xlnm.Print_Area" localSheetId="0">'Updated Order GFS Order Guide '!$A$1:$F$44</definedName>
    <definedName name="_xlnm.Print_Titles" localSheetId="2">'OG Beverage Order sheet'!$1:$6</definedName>
    <definedName name="_xlnm.Print_Titles" localSheetId="1">Original!$1:$3</definedName>
    <definedName name="selfish">Original!#REF!</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1"/>
  <c r="N5" s="1"/>
  <c r="M6"/>
  <c r="N6" s="1"/>
  <c r="M7"/>
  <c r="N7" s="1"/>
  <c r="M8"/>
  <c r="N8" s="1"/>
  <c r="M9"/>
  <c r="N9" s="1"/>
  <c r="M10"/>
  <c r="N10" s="1"/>
  <c r="M11"/>
  <c r="N11" s="1"/>
  <c r="M12"/>
  <c r="N12" s="1"/>
  <c r="M13"/>
  <c r="N13" s="1"/>
  <c r="M14"/>
  <c r="N14" s="1"/>
  <c r="M16"/>
  <c r="N16" s="1"/>
  <c r="M17"/>
  <c r="N17" s="1"/>
  <c r="M18"/>
  <c r="N18" s="1"/>
  <c r="M20"/>
  <c r="N20" s="1"/>
  <c r="M21"/>
  <c r="N21" s="1"/>
  <c r="M27"/>
  <c r="N27" s="1"/>
  <c r="M24"/>
  <c r="N24" s="1"/>
  <c r="M29"/>
  <c r="N29" s="1"/>
  <c r="M30"/>
  <c r="N30" s="1"/>
  <c r="M31"/>
  <c r="N31" s="1"/>
  <c r="M32"/>
  <c r="N32" s="1"/>
  <c r="M33"/>
  <c r="N33" s="1"/>
  <c r="M34"/>
  <c r="N34" s="1"/>
  <c r="M35"/>
  <c r="N35" s="1"/>
  <c r="M38"/>
  <c r="N38" s="1"/>
  <c r="M39"/>
  <c r="N39" s="1"/>
  <c r="I8" i="2"/>
  <c r="K8" s="1"/>
  <c r="I29"/>
  <c r="K29" s="1"/>
  <c r="I30"/>
  <c r="K30" s="1"/>
  <c r="I31"/>
  <c r="K31" s="1"/>
  <c r="I32"/>
  <c r="K32" s="1"/>
  <c r="I33"/>
  <c r="K33" s="1"/>
  <c r="I34"/>
  <c r="K34" s="1"/>
  <c r="I35"/>
  <c r="K35" s="1"/>
  <c r="I36"/>
  <c r="K36" s="1"/>
  <c r="I37"/>
  <c r="K37" s="1"/>
  <c r="I38"/>
  <c r="K38" s="1"/>
  <c r="I39"/>
  <c r="K39" s="1"/>
  <c r="I93"/>
  <c r="K93" s="1"/>
  <c r="I92"/>
  <c r="K92" s="1"/>
  <c r="I78"/>
  <c r="K78" s="1"/>
  <c r="I77"/>
  <c r="K77" s="1"/>
  <c r="I76"/>
  <c r="K76" s="1"/>
  <c r="I75"/>
  <c r="K75" s="1"/>
  <c r="I74"/>
  <c r="K74" s="1"/>
  <c r="I73"/>
  <c r="K73" s="1"/>
  <c r="I72"/>
  <c r="K72" s="1"/>
  <c r="I62"/>
  <c r="K62" s="1"/>
  <c r="I59"/>
  <c r="K59" s="1"/>
  <c r="I56"/>
  <c r="K56" s="1"/>
  <c r="I55"/>
  <c r="K55" s="1"/>
  <c r="I54"/>
  <c r="K54" s="1"/>
  <c r="I53"/>
  <c r="K53" s="1"/>
  <c r="I52"/>
  <c r="K52" s="1"/>
  <c r="I51"/>
  <c r="K51" s="1"/>
  <c r="I48"/>
  <c r="K48" s="1"/>
  <c r="I47"/>
  <c r="I46"/>
  <c r="K46" s="1"/>
  <c r="I45"/>
  <c r="K45" s="1"/>
  <c r="I42"/>
  <c r="K42" s="1"/>
  <c r="I41"/>
  <c r="K41" s="1"/>
  <c r="I40"/>
  <c r="K40" s="1"/>
  <c r="I9"/>
  <c r="K9" s="1"/>
  <c r="I10"/>
  <c r="K10" s="1"/>
  <c r="I11"/>
  <c r="K11" s="1"/>
  <c r="I12"/>
  <c r="K12" s="1"/>
  <c r="I13"/>
  <c r="K13" s="1"/>
  <c r="I14"/>
  <c r="K14" s="1"/>
  <c r="I15"/>
  <c r="K15" s="1"/>
  <c r="I16"/>
  <c r="K16" s="1"/>
  <c r="I17"/>
  <c r="K17" s="1"/>
  <c r="I18"/>
  <c r="K18" s="1"/>
  <c r="I19"/>
  <c r="K19" s="1"/>
  <c r="I20"/>
  <c r="K20" s="1"/>
  <c r="I21"/>
  <c r="K21" s="1"/>
  <c r="I22"/>
  <c r="K22" s="1"/>
  <c r="I23"/>
  <c r="K23" s="1"/>
  <c r="I24"/>
  <c r="K24" s="1"/>
  <c r="I25"/>
  <c r="K25" s="1"/>
  <c r="I26"/>
  <c r="K26" s="1"/>
  <c r="K47"/>
  <c r="B1"/>
  <c r="L93" l="1"/>
  <c r="L56"/>
  <c r="L42"/>
  <c r="K94"/>
  <c r="L26"/>
  <c r="L48"/>
  <c r="L94" l="1"/>
</calcChain>
</file>

<file path=xl/comments1.xml><?xml version="1.0" encoding="utf-8"?>
<comments xmlns="http://schemas.openxmlformats.org/spreadsheetml/2006/main">
  <authors>
    <author>Jim Laube</author>
  </authors>
  <commentList>
    <comment ref="E5" authorId="0">
      <text>
        <r>
          <rPr>
            <b/>
            <sz val="10"/>
            <color rgb="FF000000"/>
            <rFont val="Tahoma"/>
            <family val="2"/>
          </rPr>
          <t xml:space="preserve">Order Unit is the unit each item unit type to order each product. For example, bottle, case, pound, lug, flat, etc.
</t>
        </r>
      </text>
    </comment>
    <comment ref="G5" authorId="0">
      <text>
        <r>
          <rPr>
            <b/>
            <sz val="10"/>
            <color rgb="FF000000"/>
            <rFont val="Tahoma"/>
            <family val="2"/>
          </rPr>
          <t xml:space="preserve">Order to Inventory is used to convert each product Order Unit price to the Inventory Unit price.
</t>
        </r>
        <r>
          <rPr>
            <b/>
            <sz val="10"/>
            <color rgb="FF000000"/>
            <rFont val="Tahoma"/>
            <family val="2"/>
          </rPr>
          <t xml:space="preserve">
</t>
        </r>
        <r>
          <rPr>
            <b/>
            <sz val="10"/>
            <color rgb="FF000000"/>
            <rFont val="Tahoma"/>
            <family val="2"/>
          </rPr>
          <t xml:space="preserve">If the Order &amp; Inventory units are the same, this factor is 1.0. 
</t>
        </r>
        <r>
          <rPr>
            <b/>
            <sz val="10"/>
            <color rgb="FF000000"/>
            <rFont val="Tahoma"/>
            <family val="2"/>
          </rPr>
          <t xml:space="preserve">
</t>
        </r>
        <r>
          <rPr>
            <b/>
            <sz val="10"/>
            <color rgb="FF000000"/>
            <rFont val="Tahoma"/>
            <family val="2"/>
          </rPr>
          <t>If there are 12 Inventory Units in the Order Unit, then this factor is 12.</t>
        </r>
      </text>
    </comment>
    <comment ref="H5" authorId="0">
      <text>
        <r>
          <rPr>
            <b/>
            <sz val="10"/>
            <color rgb="FF000000"/>
            <rFont val="Tahoma"/>
            <family val="2"/>
          </rPr>
          <t>Inventory unit is the unit type used when you count each item during the physical inventory. For example; bottle, can, case, jar, etc.</t>
        </r>
      </text>
    </comment>
    <comment ref="J5" authorId="0">
      <text>
        <r>
          <rPr>
            <b/>
            <sz val="10"/>
            <color rgb="FF000000"/>
            <rFont val="Tahoma"/>
            <family val="2"/>
          </rPr>
          <t>Enter the number of Inventory Units counted in all storage locations for each product.</t>
        </r>
      </text>
    </comment>
    <comment ref="K5" authorId="0">
      <text>
        <r>
          <rPr>
            <b/>
            <sz val="10"/>
            <color indexed="81"/>
            <rFont val="Tahoma"/>
            <family val="2"/>
          </rPr>
          <t xml:space="preserve">Extension is "Inventory Unit" price times the "Count". 
</t>
        </r>
      </text>
    </comment>
    <comment ref="E27" authorId="0">
      <text>
        <r>
          <rPr>
            <b/>
            <sz val="10"/>
            <color indexed="81"/>
            <rFont val="Tahoma"/>
            <family val="2"/>
          </rPr>
          <t xml:space="preserve">Order Unit is the unit each item unit type to order each product. For example, bottle, case, pound, lug, flat, etc.
</t>
        </r>
      </text>
    </comment>
    <comment ref="G27" authorId="0">
      <text>
        <r>
          <rPr>
            <b/>
            <sz val="10"/>
            <color indexed="81"/>
            <rFont val="Tahoma"/>
            <family val="2"/>
          </rPr>
          <t>Order to Inventory is used to convert each product Order Unit price to the Inventory Unit price.
If the Order &amp; Inventory units are the same, this factor is 1.0. 
If there are 12 Inventory Units in the Order Unit, then this factor is 12.</t>
        </r>
      </text>
    </comment>
    <comment ref="H27" authorId="0">
      <text>
        <r>
          <rPr>
            <b/>
            <sz val="10"/>
            <color indexed="81"/>
            <rFont val="Tahoma"/>
            <family val="2"/>
          </rPr>
          <t>Inventory unit is the unit type used when you count each item during the physical inventory. For example; bottle, can, case, jar, etc.</t>
        </r>
      </text>
    </comment>
    <comment ref="J27" authorId="0">
      <text>
        <r>
          <rPr>
            <b/>
            <sz val="10"/>
            <color indexed="81"/>
            <rFont val="Tahoma"/>
            <family val="2"/>
          </rPr>
          <t>Enter the number of Inventory Units counted in all storage locations for each product.</t>
        </r>
      </text>
    </comment>
    <comment ref="K27" authorId="0">
      <text>
        <r>
          <rPr>
            <b/>
            <sz val="10"/>
            <color indexed="81"/>
            <rFont val="Tahoma"/>
            <family val="2"/>
          </rPr>
          <t xml:space="preserve">Extension is "Inventory Unit" price times the "Count". 
</t>
        </r>
      </text>
    </comment>
    <comment ref="E43" authorId="0">
      <text>
        <r>
          <rPr>
            <b/>
            <sz val="10"/>
            <color rgb="FF000000"/>
            <rFont val="Tahoma"/>
            <family val="2"/>
          </rPr>
          <t xml:space="preserve">Order Unit is the unit each item unit type to order each product. For example, bottle, case, pound, lug, flat, etc.
</t>
        </r>
      </text>
    </comment>
    <comment ref="G43" authorId="0">
      <text>
        <r>
          <rPr>
            <b/>
            <sz val="10"/>
            <color indexed="81"/>
            <rFont val="Tahoma"/>
            <family val="2"/>
          </rPr>
          <t>Order to Inventory is used to convert each product Order Unit price to the Inventory Unit price.
If the Order &amp; Inventory units are the same, this factor is 1.0. 
If there are 12 Inventory Units in the Order Unit, then this factor is 12.</t>
        </r>
      </text>
    </comment>
    <comment ref="H43" authorId="0">
      <text>
        <r>
          <rPr>
            <b/>
            <sz val="10"/>
            <color indexed="81"/>
            <rFont val="Tahoma"/>
            <family val="2"/>
          </rPr>
          <t>Inventory unit is the unit type used when you count each item during the physical inventory. For example; bottle, can, case, jar, etc.</t>
        </r>
      </text>
    </comment>
    <comment ref="J43" authorId="0">
      <text>
        <r>
          <rPr>
            <b/>
            <sz val="10"/>
            <color indexed="81"/>
            <rFont val="Tahoma"/>
            <family val="2"/>
          </rPr>
          <t>Enter the number of Inventory Units counted in all storage locations for each product.</t>
        </r>
      </text>
    </comment>
    <comment ref="K43" authorId="0">
      <text>
        <r>
          <rPr>
            <b/>
            <sz val="10"/>
            <color indexed="81"/>
            <rFont val="Tahoma"/>
            <family val="2"/>
          </rPr>
          <t xml:space="preserve">Extension is "Inventory Unit" price times the "Count". 
</t>
        </r>
      </text>
    </comment>
    <comment ref="E49" authorId="0">
      <text>
        <r>
          <rPr>
            <b/>
            <sz val="10"/>
            <color indexed="81"/>
            <rFont val="Tahoma"/>
            <family val="2"/>
          </rPr>
          <t xml:space="preserve">Order Unit is the unit each item unit type to order each product. For example, bottle, case, pound, lug, flat, etc.
</t>
        </r>
      </text>
    </comment>
    <comment ref="G49" authorId="0">
      <text>
        <r>
          <rPr>
            <b/>
            <sz val="10"/>
            <color indexed="81"/>
            <rFont val="Tahoma"/>
            <family val="2"/>
          </rPr>
          <t>Order to Inventory is used to convert each product Order Unit price to the Inventory Unit price.
If the Order &amp; Inventory units are the same, this factor is 1.0. 
If there are 12 Inventory Units in the Order Unit, then this factor is 12.</t>
        </r>
      </text>
    </comment>
    <comment ref="H49" authorId="0">
      <text>
        <r>
          <rPr>
            <b/>
            <sz val="10"/>
            <color indexed="81"/>
            <rFont val="Tahoma"/>
            <family val="2"/>
          </rPr>
          <t>Inventory unit is the unit type used when you count each item during the physical inventory. For example; bottle, can, case, jar, etc.</t>
        </r>
      </text>
    </comment>
    <comment ref="J49" authorId="0">
      <text>
        <r>
          <rPr>
            <b/>
            <sz val="10"/>
            <color indexed="81"/>
            <rFont val="Tahoma"/>
            <family val="2"/>
          </rPr>
          <t>Enter the number of Inventory Units counted in all storage locations for each product.</t>
        </r>
      </text>
    </comment>
    <comment ref="K49" authorId="0">
      <text>
        <r>
          <rPr>
            <b/>
            <sz val="10"/>
            <color indexed="81"/>
            <rFont val="Tahoma"/>
            <family val="2"/>
          </rPr>
          <t xml:space="preserve">Extension is "Inventory Unit" price times the "Count". 
</t>
        </r>
      </text>
    </comment>
    <comment ref="E57" authorId="0">
      <text>
        <r>
          <rPr>
            <b/>
            <sz val="10"/>
            <color indexed="81"/>
            <rFont val="Tahoma"/>
            <family val="2"/>
          </rPr>
          <t xml:space="preserve">Order Unit is the unit each item unit type to order each product. For example, bottle, case, pound, lug, flat, etc.
</t>
        </r>
      </text>
    </comment>
    <comment ref="G57" authorId="0">
      <text>
        <r>
          <rPr>
            <b/>
            <sz val="10"/>
            <color indexed="81"/>
            <rFont val="Tahoma"/>
            <family val="2"/>
          </rPr>
          <t>Order to Inventory is used to convert each product Order Unit price to the Inventory Unit price.
If the Order &amp; Inventory units are the same, this factor is 1.0. 
If there are 12 Inventory Units in the Order Unit, then this factor is 12.</t>
        </r>
      </text>
    </comment>
    <comment ref="H57" authorId="0">
      <text>
        <r>
          <rPr>
            <b/>
            <sz val="10"/>
            <color indexed="81"/>
            <rFont val="Tahoma"/>
            <family val="2"/>
          </rPr>
          <t>Inventory unit is the unit type used when you count each item during the physical inventory. For example; bottle, can, case, jar, etc.</t>
        </r>
      </text>
    </comment>
    <comment ref="J57" authorId="0">
      <text>
        <r>
          <rPr>
            <b/>
            <sz val="10"/>
            <color indexed="81"/>
            <rFont val="Tahoma"/>
            <family val="2"/>
          </rPr>
          <t>Enter the number of Inventory Units counted in all storage locations for each product.</t>
        </r>
      </text>
    </comment>
    <comment ref="K57" authorId="0">
      <text>
        <r>
          <rPr>
            <b/>
            <sz val="10"/>
            <color indexed="81"/>
            <rFont val="Tahoma"/>
            <family val="2"/>
          </rPr>
          <t xml:space="preserve">Extension is "Inventory Unit" price times the "Count". 
</t>
        </r>
      </text>
    </comment>
  </commentList>
</comments>
</file>

<file path=xl/sharedStrings.xml><?xml version="1.0" encoding="utf-8"?>
<sst xmlns="http://schemas.openxmlformats.org/spreadsheetml/2006/main" count="390" uniqueCount="217">
  <si>
    <t xml:space="preserve"> </t>
  </si>
  <si>
    <t>UNIT</t>
  </si>
  <si>
    <t>EXTENSION</t>
  </si>
  <si>
    <t>TOTALS</t>
  </si>
  <si>
    <t>bottle</t>
  </si>
  <si>
    <t>INVENTORY UNIT</t>
  </si>
  <si>
    <t>PRICE</t>
  </si>
  <si>
    <t>LIQUOR</t>
  </si>
  <si>
    <t>WINE</t>
  </si>
  <si>
    <t>COUNT</t>
  </si>
  <si>
    <t>MEAT</t>
  </si>
  <si>
    <t>ORDER UNIT</t>
  </si>
  <si>
    <t>ORDER TO INV</t>
  </si>
  <si>
    <t>ITEM DESCRIPTIONS</t>
  </si>
  <si>
    <t>BOTTLE BEER</t>
  </si>
  <si>
    <t>DRAFT BEER</t>
  </si>
  <si>
    <t>Keg</t>
  </si>
  <si>
    <t>keg</t>
  </si>
  <si>
    <t>Cabernet</t>
  </si>
  <si>
    <t>Miller Lite</t>
  </si>
  <si>
    <t>Mich Ultra</t>
  </si>
  <si>
    <t>Bud Light</t>
  </si>
  <si>
    <t>Budweiser</t>
  </si>
  <si>
    <t>Corona</t>
  </si>
  <si>
    <t>Modelo</t>
  </si>
  <si>
    <t>Heineken</t>
  </si>
  <si>
    <t>Stella</t>
  </si>
  <si>
    <t>Yeungling</t>
  </si>
  <si>
    <t>Jai Alai</t>
  </si>
  <si>
    <t>Coors Lite</t>
  </si>
  <si>
    <t>Hornitos</t>
  </si>
  <si>
    <t>Bacardi Bahama Mama</t>
  </si>
  <si>
    <t>Bacardi Mojito</t>
  </si>
  <si>
    <t>Bacardi Rum Punch</t>
  </si>
  <si>
    <t>Bacardi Pina Colada</t>
  </si>
  <si>
    <t>Cazadores Margarita</t>
  </si>
  <si>
    <t>Cazadores Paloma</t>
  </si>
  <si>
    <t>Ketel One Spritzer</t>
  </si>
  <si>
    <t>Jim Beam Highball</t>
  </si>
  <si>
    <t>Caribe Mule</t>
  </si>
  <si>
    <t>Old Fashioned Mule</t>
  </si>
  <si>
    <t>Nutrl Pineapple</t>
  </si>
  <si>
    <t>Nutrl Watermelon</t>
  </si>
  <si>
    <t>Bud Black Cherry Seltzer</t>
  </si>
  <si>
    <t>Case</t>
  </si>
  <si>
    <t>Food Order Sheet</t>
  </si>
  <si>
    <t>Beverage Order Sheet</t>
  </si>
  <si>
    <t>Yuengling</t>
  </si>
  <si>
    <t>Chardonny</t>
  </si>
  <si>
    <t>Merlot</t>
  </si>
  <si>
    <t>Stella Peach</t>
  </si>
  <si>
    <t>NAB</t>
  </si>
  <si>
    <t>Water</t>
  </si>
  <si>
    <t>Perrier</t>
  </si>
  <si>
    <t>Fiji</t>
  </si>
  <si>
    <t>Powerade Red</t>
  </si>
  <si>
    <t>Powerade Blue</t>
  </si>
  <si>
    <t>Powerade Purple</t>
  </si>
  <si>
    <t>Powerade SF Red</t>
  </si>
  <si>
    <t>Powerade SF Blue</t>
  </si>
  <si>
    <t>Powerade SF Purple</t>
  </si>
  <si>
    <t>Powerade Orange</t>
  </si>
  <si>
    <t>Powerade Yellow</t>
  </si>
  <si>
    <t>Powerade SF Orage</t>
  </si>
  <si>
    <t>Powerade SF Yellow</t>
  </si>
  <si>
    <t>Bottle Unsweet Tea</t>
  </si>
  <si>
    <t>Bottle Sweet Tea</t>
  </si>
  <si>
    <t>Bottle Coke</t>
  </si>
  <si>
    <t>Bottle Diet Coke</t>
  </si>
  <si>
    <t>Bottle Coke Zero</t>
  </si>
  <si>
    <t>Bottle Sprite</t>
  </si>
  <si>
    <t>BIB Coke</t>
  </si>
  <si>
    <t>BIB Diet Coke</t>
  </si>
  <si>
    <t>BIB Coke Zero</t>
  </si>
  <si>
    <t>BIB Sprite</t>
  </si>
  <si>
    <t>BIB Ginger Ale</t>
  </si>
  <si>
    <t>BIB Powerade Blue</t>
  </si>
  <si>
    <t>Each</t>
  </si>
  <si>
    <t>Monster Black</t>
  </si>
  <si>
    <t>Monster White</t>
  </si>
  <si>
    <t>Monster Orange</t>
  </si>
  <si>
    <t>Monster Blue</t>
  </si>
  <si>
    <t>Clesius Kiwi</t>
  </si>
  <si>
    <t>Clesius Orange</t>
  </si>
  <si>
    <t>Coffee</t>
  </si>
  <si>
    <t>Vickie's Sea Salt</t>
  </si>
  <si>
    <t>Vickie's Salt &amp; Vinegar</t>
  </si>
  <si>
    <t>Vickie's BBQ</t>
  </si>
  <si>
    <t>Vickie's Jalapeno</t>
  </si>
  <si>
    <t>SNACKS</t>
  </si>
  <si>
    <t>Ketchup Packets</t>
  </si>
  <si>
    <t>Mustard Packets</t>
  </si>
  <si>
    <t>Mayo Packets</t>
  </si>
  <si>
    <t>Clamshells</t>
  </si>
  <si>
    <t>Water Cups</t>
  </si>
  <si>
    <t>Water Lids</t>
  </si>
  <si>
    <t>Straws</t>
  </si>
  <si>
    <t>Toilet Paper</t>
  </si>
  <si>
    <t>Paper Towels</t>
  </si>
  <si>
    <t>Hot Dog Trays</t>
  </si>
  <si>
    <t>PAPER  AND CONSUMABLES</t>
  </si>
  <si>
    <t>PAR</t>
  </si>
  <si>
    <t>ON HAND</t>
  </si>
  <si>
    <t>TO ORDER</t>
  </si>
  <si>
    <t>GFS</t>
  </si>
  <si>
    <t>BJs</t>
  </si>
  <si>
    <t>Sams</t>
  </si>
  <si>
    <t>UNITS</t>
  </si>
  <si>
    <t>Lowest Price</t>
  </si>
  <si>
    <t>Price</t>
  </si>
  <si>
    <t>Per Unit</t>
  </si>
  <si>
    <t>Trash Bags</t>
  </si>
  <si>
    <t>Dishwasher Detergent</t>
  </si>
  <si>
    <t>Sanitizer</t>
  </si>
  <si>
    <t>Bottled Coke</t>
  </si>
  <si>
    <t>Canned Coke</t>
  </si>
  <si>
    <t>Receipt Paper</t>
  </si>
  <si>
    <t>Plastic Bags</t>
  </si>
  <si>
    <t>Sweet Tea</t>
  </si>
  <si>
    <t>Lemonade</t>
  </si>
  <si>
    <t>Strawberry Dragonfruit</t>
  </si>
  <si>
    <t>Bottled Diet Coke</t>
  </si>
  <si>
    <t>Bottled Coke Zero</t>
  </si>
  <si>
    <t>Bottled Sprite</t>
  </si>
  <si>
    <t>BIB- Coke</t>
  </si>
  <si>
    <t>BIB- Diet Coke</t>
  </si>
  <si>
    <t>BIB- Sprite</t>
  </si>
  <si>
    <t>BIB- Ginger Ale</t>
  </si>
  <si>
    <t>BIB- Tonic Water</t>
  </si>
  <si>
    <t>Unsweet Tea</t>
  </si>
  <si>
    <t>Hand Soap</t>
  </si>
  <si>
    <t>Canned Diet Coke</t>
  </si>
  <si>
    <t>Canned Sprite</t>
  </si>
  <si>
    <t>Canned Club Soda</t>
  </si>
  <si>
    <t>To Go Box 8x8x5</t>
  </si>
  <si>
    <t>Napkins Dispenser</t>
  </si>
  <si>
    <t>Napkins Silverware</t>
  </si>
  <si>
    <t>Bleach</t>
  </si>
  <si>
    <t>Relish Packets</t>
  </si>
  <si>
    <t xml:space="preserve">       GFS </t>
  </si>
  <si>
    <t xml:space="preserve">THE NEST </t>
  </si>
  <si>
    <t>Spicy Brown Mustard Packets</t>
  </si>
  <si>
    <t>Moist Towelettes</t>
  </si>
  <si>
    <t>Checkbooks</t>
  </si>
  <si>
    <t>Mop Heads</t>
  </si>
  <si>
    <t>Grape Juice</t>
  </si>
  <si>
    <t>ANDY</t>
  </si>
  <si>
    <t>Crystal Dry Rinse-Aid</t>
  </si>
  <si>
    <t>Pot and Pan Detergent</t>
  </si>
  <si>
    <t>Napkin Bands</t>
  </si>
  <si>
    <t>ITEM DESCRIPTION</t>
  </si>
  <si>
    <t>Ketchup Can</t>
  </si>
  <si>
    <t xml:space="preserve">FOH GFS Order Guide </t>
  </si>
  <si>
    <t>Chips-</t>
  </si>
  <si>
    <t xml:space="preserve">Vickie's Salt &amp; Vinegar </t>
  </si>
  <si>
    <t xml:space="preserve">Vickie's BBQ </t>
  </si>
  <si>
    <t xml:space="preserve">Vickie's Jalapeno </t>
  </si>
  <si>
    <t>Tractor-</t>
  </si>
  <si>
    <t xml:space="preserve">Lemonade </t>
  </si>
  <si>
    <t xml:space="preserve">Strawberry Dragonfruit </t>
  </si>
  <si>
    <t xml:space="preserve">Mango </t>
  </si>
  <si>
    <t>Bottled Beverages-</t>
  </si>
  <si>
    <t xml:space="preserve">Coke </t>
  </si>
  <si>
    <t xml:space="preserve">Diet Coke </t>
  </si>
  <si>
    <t xml:space="preserve">Water </t>
  </si>
  <si>
    <t>Sprite</t>
  </si>
  <si>
    <t>Diet Coke</t>
  </si>
  <si>
    <t xml:space="preserve">Coke Zero </t>
  </si>
  <si>
    <t>Beverage In Bag (BIB)-</t>
  </si>
  <si>
    <t xml:space="preserve">Sprite </t>
  </si>
  <si>
    <t xml:space="preserve">Gingerale </t>
  </si>
  <si>
    <t xml:space="preserve">Tonic Water </t>
  </si>
  <si>
    <t>Canned Beverages-</t>
  </si>
  <si>
    <t xml:space="preserve">Club Soda </t>
  </si>
  <si>
    <t xml:space="preserve">Grape Juice </t>
  </si>
  <si>
    <t xml:space="preserve">Coffee </t>
  </si>
  <si>
    <t>Condiments-</t>
  </si>
  <si>
    <t xml:space="preserve">Ketchup Packets </t>
  </si>
  <si>
    <t xml:space="preserve">Mustard Packets </t>
  </si>
  <si>
    <t xml:space="preserve">Spicy Brown Mustard Packets </t>
  </si>
  <si>
    <t xml:space="preserve">Mayo Packets </t>
  </si>
  <si>
    <t xml:space="preserve">Relish Packets </t>
  </si>
  <si>
    <t>Dry Goods-</t>
  </si>
  <si>
    <t xml:space="preserve">Moist Towelettes </t>
  </si>
  <si>
    <t xml:space="preserve">Plastic Bags </t>
  </si>
  <si>
    <t>Despenser Napkins</t>
  </si>
  <si>
    <t>Silverware Napkins</t>
  </si>
  <si>
    <t xml:space="preserve">Napkin Bands </t>
  </si>
  <si>
    <t xml:space="preserve">Check Books </t>
  </si>
  <si>
    <t xml:space="preserve">Order </t>
  </si>
  <si>
    <t>Order</t>
  </si>
  <si>
    <t>Others-</t>
  </si>
  <si>
    <t>Marichino Cherries</t>
  </si>
  <si>
    <t xml:space="preserve">Olives </t>
  </si>
  <si>
    <t>Tall Straws (7.75 in.)</t>
  </si>
  <si>
    <t>Small Straws (5.5 in.)</t>
  </si>
  <si>
    <t>Coffee Filters</t>
  </si>
  <si>
    <t>Express Van Delivery</t>
  </si>
  <si>
    <t xml:space="preserve">Fruit punch </t>
  </si>
  <si>
    <t>Lemon Lime</t>
  </si>
  <si>
    <t xml:space="preserve">Mountain blast </t>
  </si>
  <si>
    <t xml:space="preserve">Orange </t>
  </si>
  <si>
    <t xml:space="preserve">Powerade Zero </t>
  </si>
  <si>
    <t xml:space="preserve">Fruit Punch </t>
  </si>
  <si>
    <t xml:space="preserve">Grape </t>
  </si>
  <si>
    <t xml:space="preserve">Mixed Berry </t>
  </si>
  <si>
    <t>Par</t>
  </si>
  <si>
    <r>
      <rPr>
        <b/>
        <u/>
        <sz val="12"/>
        <rFont val="Arial"/>
        <family val="2"/>
      </rPr>
      <t>Regular Powerade</t>
    </r>
    <r>
      <rPr>
        <sz val="12"/>
        <rFont val="Arial"/>
        <family val="2"/>
      </rPr>
      <t xml:space="preserve"> </t>
    </r>
  </si>
  <si>
    <t xml:space="preserve">Sugar sweet n low </t>
  </si>
  <si>
    <t xml:space="preserve">Varity Chips </t>
  </si>
  <si>
    <t xml:space="preserve">Cramberry juice </t>
  </si>
  <si>
    <t xml:space="preserve">Pineapple juice </t>
  </si>
  <si>
    <t xml:space="preserve">Receipt papper </t>
  </si>
  <si>
    <t xml:space="preserve">Grab N Go Labels </t>
  </si>
  <si>
    <t xml:space="preserve">Envelopes </t>
  </si>
  <si>
    <t xml:space="preserve">Papers sheets </t>
  </si>
  <si>
    <t xml:space="preserve">Coffee Creamer </t>
  </si>
</sst>
</file>

<file path=xl/styles.xml><?xml version="1.0" encoding="utf-8"?>
<styleSheet xmlns="http://schemas.openxmlformats.org/spreadsheetml/2006/main">
  <numFmts count="3">
    <numFmt numFmtId="44" formatCode="_(&quot;$&quot;* #,##0.00_);_(&quot;$&quot;* \(#,##0.00\);_(&quot;$&quot;* &quot;-&quot;??_);_(@_)"/>
    <numFmt numFmtId="164" formatCode="#,##0.0_);\(#,##0.0\)"/>
    <numFmt numFmtId="165" formatCode="m/d;@"/>
  </numFmts>
  <fonts count="16">
    <font>
      <sz val="10"/>
      <name val="Arial"/>
    </font>
    <font>
      <sz val="10"/>
      <name val="Arial"/>
      <family val="2"/>
    </font>
    <font>
      <b/>
      <sz val="10"/>
      <name val="Arial"/>
      <family val="2"/>
    </font>
    <font>
      <b/>
      <sz val="14"/>
      <name val="Arial"/>
      <family val="2"/>
    </font>
    <font>
      <b/>
      <sz val="10"/>
      <color indexed="10"/>
      <name val="Arial"/>
      <family val="2"/>
    </font>
    <font>
      <b/>
      <sz val="10"/>
      <color indexed="81"/>
      <name val="Tahoma"/>
      <family val="2"/>
    </font>
    <font>
      <sz val="10"/>
      <name val="Arial"/>
      <family val="2"/>
    </font>
    <font>
      <sz val="8"/>
      <color rgb="FF000000"/>
      <name val="Times New Roman"/>
      <family val="1"/>
    </font>
    <font>
      <b/>
      <sz val="18"/>
      <color rgb="FFFF0000"/>
      <name val="Arial"/>
      <family val="2"/>
    </font>
    <font>
      <b/>
      <sz val="10"/>
      <color theme="0"/>
      <name val="Arial"/>
      <family val="2"/>
    </font>
    <font>
      <b/>
      <sz val="14"/>
      <color theme="0"/>
      <name val="Arial"/>
      <family val="2"/>
    </font>
    <font>
      <b/>
      <sz val="10"/>
      <color rgb="FF000000"/>
      <name val="Tahoma"/>
      <family val="2"/>
    </font>
    <font>
      <b/>
      <u/>
      <sz val="12"/>
      <name val="Arial"/>
      <family val="2"/>
    </font>
    <font>
      <b/>
      <u/>
      <sz val="14"/>
      <name val="Arial"/>
      <family val="2"/>
    </font>
    <font>
      <sz val="12"/>
      <name val="Arial"/>
      <family val="2"/>
    </font>
    <font>
      <b/>
      <sz val="16"/>
      <name val="Arial"/>
      <family val="2"/>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CADCEE"/>
        <bgColor indexed="64"/>
      </patternFill>
    </fill>
    <fill>
      <patternFill patternType="solid">
        <fgColor rgb="FFB4C9E2"/>
        <bgColor indexed="64"/>
      </patternFill>
    </fill>
    <fill>
      <patternFill patternType="solid">
        <fgColor rgb="FF376091"/>
        <bgColor indexed="64"/>
      </patternFill>
    </fill>
    <fill>
      <patternFill patternType="solid">
        <fgColor rgb="FFCCFFCC"/>
        <bgColor indexed="64"/>
      </patternFill>
    </fill>
    <fill>
      <patternFill patternType="solid">
        <fgColor rgb="FFEEEEEE"/>
        <bgColor indexed="64"/>
      </patternFill>
    </fill>
    <fill>
      <patternFill patternType="solid">
        <fgColor theme="3" tint="0.79998168889431442"/>
        <bgColor indexed="64"/>
      </patternFill>
    </fill>
  </fills>
  <borders count="44">
    <border>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diagonal/>
    </border>
    <border>
      <left style="thin">
        <color indexed="64"/>
      </left>
      <right style="medium">
        <color indexed="64"/>
      </right>
      <top/>
      <bottom/>
      <diagonal/>
    </border>
  </borders>
  <cellStyleXfs count="1">
    <xf numFmtId="0" fontId="0" fillId="0" borderId="0"/>
  </cellStyleXfs>
  <cellXfs count="189">
    <xf numFmtId="0" fontId="0" fillId="0" borderId="0" xfId="0"/>
    <xf numFmtId="0" fontId="2" fillId="0" borderId="0" xfId="0" applyFont="1"/>
    <xf numFmtId="164" fontId="2" fillId="0" borderId="0" xfId="0" applyNumberFormat="1" applyFont="1"/>
    <xf numFmtId="0" fontId="2" fillId="0" borderId="0" xfId="0" applyFont="1" applyAlignment="1">
      <alignment horizontal="center"/>
    </xf>
    <xf numFmtId="39" fontId="2" fillId="0" borderId="0" xfId="0" applyNumberFormat="1" applyFont="1" applyAlignment="1">
      <alignment horizontal="center"/>
    </xf>
    <xf numFmtId="0" fontId="0" fillId="2" borderId="0" xfId="0" applyFill="1"/>
    <xf numFmtId="0" fontId="2" fillId="2" borderId="0" xfId="0" applyFont="1" applyFill="1"/>
    <xf numFmtId="39" fontId="2" fillId="2" borderId="0" xfId="0" applyNumberFormat="1" applyFont="1" applyFill="1" applyAlignment="1">
      <alignment horizontal="center"/>
    </xf>
    <xf numFmtId="0" fontId="2" fillId="2" borderId="0" xfId="0" applyFont="1" applyFill="1" applyAlignment="1">
      <alignment wrapText="1"/>
    </xf>
    <xf numFmtId="0" fontId="2" fillId="2" borderId="0" xfId="0" applyFont="1" applyFill="1" applyAlignment="1">
      <alignment horizontal="center"/>
    </xf>
    <xf numFmtId="164" fontId="2" fillId="2" borderId="0" xfId="0" applyNumberFormat="1" applyFont="1" applyFill="1"/>
    <xf numFmtId="44" fontId="2" fillId="2" borderId="0" xfId="0" applyNumberFormat="1" applyFont="1" applyFill="1" applyAlignment="1">
      <alignment horizontal="left"/>
    </xf>
    <xf numFmtId="44" fontId="2" fillId="0" borderId="0" xfId="0" applyNumberFormat="1" applyFont="1" applyAlignment="1">
      <alignment horizontal="left"/>
    </xf>
    <xf numFmtId="0" fontId="2" fillId="2" borderId="0" xfId="0" applyFont="1" applyFill="1" applyAlignment="1">
      <alignment horizontal="center" wrapText="1"/>
    </xf>
    <xf numFmtId="44" fontId="2" fillId="2" borderId="1" xfId="0" applyNumberFormat="1" applyFont="1" applyFill="1" applyBorder="1" applyAlignment="1">
      <alignment horizontal="left"/>
    </xf>
    <xf numFmtId="164" fontId="2" fillId="2" borderId="0" xfId="0" applyNumberFormat="1" applyFont="1" applyFill="1" applyAlignment="1">
      <alignment horizontal="center"/>
    </xf>
    <xf numFmtId="164" fontId="2" fillId="2" borderId="0" xfId="0" applyNumberFormat="1" applyFont="1" applyFill="1" applyAlignment="1">
      <alignment horizontal="center" wrapText="1"/>
    </xf>
    <xf numFmtId="164" fontId="2" fillId="0" borderId="0" xfId="0" applyNumberFormat="1" applyFont="1" applyAlignment="1">
      <alignment horizontal="center"/>
    </xf>
    <xf numFmtId="44" fontId="2" fillId="2" borderId="0" xfId="0" applyNumberFormat="1" applyFont="1" applyFill="1"/>
    <xf numFmtId="44" fontId="2" fillId="2" borderId="0" xfId="0" applyNumberFormat="1" applyFont="1" applyFill="1" applyAlignment="1">
      <alignment horizontal="center" wrapText="1"/>
    </xf>
    <xf numFmtId="44" fontId="2" fillId="0" borderId="0" xfId="0" applyNumberFormat="1" applyFont="1"/>
    <xf numFmtId="0" fontId="2" fillId="2" borderId="5" xfId="0" applyFont="1" applyFill="1" applyBorder="1" applyAlignment="1">
      <alignment horizontal="center"/>
    </xf>
    <xf numFmtId="164" fontId="2" fillId="2" borderId="6" xfId="0" applyNumberFormat="1" applyFont="1" applyFill="1" applyBorder="1"/>
    <xf numFmtId="0" fontId="6" fillId="2" borderId="5" xfId="0" applyFont="1" applyFill="1" applyBorder="1" applyAlignment="1">
      <alignment horizontal="center"/>
    </xf>
    <xf numFmtId="44" fontId="6" fillId="2" borderId="8" xfId="0" applyNumberFormat="1" applyFont="1" applyFill="1" applyBorder="1" applyAlignment="1">
      <alignment horizontal="left"/>
    </xf>
    <xf numFmtId="164" fontId="6" fillId="0" borderId="9" xfId="0" applyNumberFormat="1" applyFont="1" applyBorder="1" applyAlignment="1">
      <alignment horizontal="center"/>
    </xf>
    <xf numFmtId="44" fontId="6" fillId="0" borderId="8" xfId="0" applyNumberFormat="1" applyFont="1" applyBorder="1"/>
    <xf numFmtId="0" fontId="6" fillId="2" borderId="11" xfId="0" applyFont="1" applyFill="1" applyBorder="1" applyAlignment="1">
      <alignment horizontal="center"/>
    </xf>
    <xf numFmtId="164" fontId="6" fillId="2" borderId="9" xfId="0" applyNumberFormat="1" applyFont="1" applyFill="1" applyBorder="1" applyAlignment="1">
      <alignment horizontal="center"/>
    </xf>
    <xf numFmtId="39" fontId="6" fillId="0" borderId="5" xfId="0" applyNumberFormat="1" applyFont="1" applyBorder="1" applyAlignment="1">
      <alignment horizontal="center"/>
    </xf>
    <xf numFmtId="0" fontId="6" fillId="2" borderId="19" xfId="0" applyFont="1" applyFill="1" applyBorder="1"/>
    <xf numFmtId="44" fontId="6" fillId="2" borderId="20" xfId="0" applyNumberFormat="1" applyFont="1" applyFill="1" applyBorder="1" applyAlignment="1">
      <alignment horizontal="left"/>
    </xf>
    <xf numFmtId="0" fontId="2" fillId="0" borderId="7" xfId="0" applyFont="1" applyBorder="1" applyAlignment="1">
      <alignment horizontal="center" vertical="center" wrapText="1"/>
    </xf>
    <xf numFmtId="44" fontId="2" fillId="0" borderId="4" xfId="0" applyNumberFormat="1" applyFont="1" applyBorder="1" applyAlignment="1">
      <alignment horizontal="center" vertical="center" wrapText="1"/>
    </xf>
    <xf numFmtId="39" fontId="2" fillId="2" borderId="7" xfId="0" applyNumberFormat="1" applyFont="1" applyFill="1" applyBorder="1" applyAlignment="1">
      <alignment horizontal="center" vertical="center" wrapText="1"/>
    </xf>
    <xf numFmtId="44" fontId="2" fillId="2" borderId="4" xfId="0" applyNumberFormat="1" applyFont="1" applyFill="1" applyBorder="1" applyAlignment="1">
      <alignment horizontal="center" vertical="center" wrapText="1"/>
    </xf>
    <xf numFmtId="0" fontId="2" fillId="0" borderId="16" xfId="0" applyFont="1" applyBorder="1" applyAlignment="1">
      <alignment horizontal="center" vertical="center" wrapText="1"/>
    </xf>
    <xf numFmtId="39" fontId="2" fillId="2" borderId="16" xfId="0" applyNumberFormat="1" applyFont="1" applyFill="1" applyBorder="1" applyAlignment="1">
      <alignment horizontal="center" vertical="center" wrapText="1"/>
    </xf>
    <xf numFmtId="44" fontId="2" fillId="2" borderId="22" xfId="0" applyNumberFormat="1" applyFont="1" applyFill="1" applyBorder="1" applyAlignment="1">
      <alignment horizontal="center" vertical="center" wrapText="1"/>
    </xf>
    <xf numFmtId="44" fontId="2" fillId="0" borderId="22" xfId="0" applyNumberFormat="1" applyFont="1" applyBorder="1" applyAlignment="1">
      <alignment horizontal="center" vertical="center" wrapText="1"/>
    </xf>
    <xf numFmtId="0" fontId="7" fillId="0" borderId="0" xfId="0" applyFont="1"/>
    <xf numFmtId="0" fontId="8" fillId="2" borderId="0" xfId="0" applyFont="1" applyFill="1"/>
    <xf numFmtId="44" fontId="2" fillId="3" borderId="0" xfId="0" applyNumberFormat="1" applyFont="1" applyFill="1" applyAlignment="1">
      <alignment horizontal="left"/>
    </xf>
    <xf numFmtId="165" fontId="4" fillId="2" borderId="3" xfId="0" applyNumberFormat="1" applyFont="1" applyFill="1" applyBorder="1" applyAlignment="1">
      <alignment horizontal="center"/>
    </xf>
    <xf numFmtId="0" fontId="2" fillId="5" borderId="23" xfId="0" applyFont="1" applyFill="1" applyBorder="1" applyAlignment="1">
      <alignment horizontal="center" vertical="center" wrapText="1"/>
    </xf>
    <xf numFmtId="44" fontId="2" fillId="5" borderId="24" xfId="0" applyNumberFormat="1" applyFont="1" applyFill="1" applyBorder="1" applyAlignment="1">
      <alignment horizontal="center" vertical="center" wrapText="1"/>
    </xf>
    <xf numFmtId="164" fontId="2" fillId="5" borderId="24" xfId="0" applyNumberFormat="1" applyFont="1" applyFill="1" applyBorder="1" applyAlignment="1">
      <alignment horizontal="center" vertical="center" wrapText="1"/>
    </xf>
    <xf numFmtId="39" fontId="2" fillId="5" borderId="24" xfId="0" applyNumberFormat="1" applyFont="1" applyFill="1" applyBorder="1" applyAlignment="1">
      <alignment horizontal="center" vertical="center" wrapText="1"/>
    </xf>
    <xf numFmtId="44" fontId="2" fillId="5" borderId="25" xfId="0" applyNumberFormat="1" applyFont="1" applyFill="1" applyBorder="1" applyAlignment="1">
      <alignment horizontal="center" vertical="center" wrapText="1"/>
    </xf>
    <xf numFmtId="44" fontId="2" fillId="7" borderId="3" xfId="0" applyNumberFormat="1" applyFont="1" applyFill="1" applyBorder="1" applyAlignment="1">
      <alignment horizontal="left"/>
    </xf>
    <xf numFmtId="0" fontId="10" fillId="6" borderId="23" xfId="0" applyFont="1" applyFill="1" applyBorder="1" applyAlignment="1">
      <alignment horizontal="left"/>
    </xf>
    <xf numFmtId="0" fontId="10" fillId="6" borderId="25" xfId="0" applyFont="1" applyFill="1" applyBorder="1" applyAlignment="1">
      <alignment horizontal="left"/>
    </xf>
    <xf numFmtId="0" fontId="2" fillId="5" borderId="24" xfId="0" applyFont="1" applyFill="1" applyBorder="1" applyAlignment="1">
      <alignment horizontal="center" vertical="center" wrapText="1"/>
    </xf>
    <xf numFmtId="44" fontId="6" fillId="4" borderId="10" xfId="0" applyNumberFormat="1" applyFont="1" applyFill="1" applyBorder="1" applyAlignment="1">
      <alignment horizontal="left"/>
    </xf>
    <xf numFmtId="44" fontId="6" fillId="4" borderId="2" xfId="0" applyNumberFormat="1" applyFont="1" applyFill="1" applyBorder="1" applyAlignment="1">
      <alignment horizontal="left"/>
    </xf>
    <xf numFmtId="0" fontId="0" fillId="0" borderId="9" xfId="0" applyBorder="1"/>
    <xf numFmtId="0" fontId="0" fillId="0" borderId="31" xfId="0" applyBorder="1"/>
    <xf numFmtId="0" fontId="0" fillId="0" borderId="18" xfId="0" applyBorder="1"/>
    <xf numFmtId="0" fontId="1" fillId="2" borderId="5" xfId="0" applyFont="1" applyFill="1" applyBorder="1" applyAlignment="1">
      <alignment horizontal="center"/>
    </xf>
    <xf numFmtId="0" fontId="9" fillId="0" borderId="0" xfId="0" applyFont="1"/>
    <xf numFmtId="44" fontId="9" fillId="0" borderId="0" xfId="0" applyNumberFormat="1" applyFont="1" applyAlignment="1">
      <alignment horizontal="left"/>
    </xf>
    <xf numFmtId="164" fontId="9" fillId="0" borderId="0" xfId="0" applyNumberFormat="1" applyFont="1"/>
    <xf numFmtId="164" fontId="9" fillId="0" borderId="0" xfId="0" applyNumberFormat="1" applyFont="1" applyAlignment="1">
      <alignment horizontal="center"/>
    </xf>
    <xf numFmtId="0" fontId="1" fillId="0" borderId="2" xfId="0" applyFont="1" applyBorder="1"/>
    <xf numFmtId="0" fontId="1" fillId="2" borderId="18" xfId="0" applyFont="1" applyFill="1" applyBorder="1"/>
    <xf numFmtId="0" fontId="1" fillId="0" borderId="18" xfId="0" applyFont="1" applyBorder="1"/>
    <xf numFmtId="0" fontId="2" fillId="0" borderId="23" xfId="0" applyFont="1" applyBorder="1" applyAlignment="1">
      <alignment horizontal="center" vertical="center" wrapText="1"/>
    </xf>
    <xf numFmtId="44" fontId="2" fillId="0" borderId="40" xfId="0" applyNumberFormat="1" applyFont="1" applyBorder="1" applyAlignment="1">
      <alignment horizontal="center" vertical="center" wrapText="1"/>
    </xf>
    <xf numFmtId="0" fontId="6" fillId="2" borderId="41" xfId="0" applyFont="1" applyFill="1" applyBorder="1" applyAlignment="1">
      <alignment horizontal="center"/>
    </xf>
    <xf numFmtId="0" fontId="2" fillId="2" borderId="10" xfId="0" applyFont="1" applyFill="1" applyBorder="1" applyAlignment="1">
      <alignment wrapText="1"/>
    </xf>
    <xf numFmtId="0" fontId="2" fillId="2" borderId="10" xfId="0" applyFont="1" applyFill="1" applyBorder="1" applyAlignment="1">
      <alignment horizontal="center"/>
    </xf>
    <xf numFmtId="0" fontId="2" fillId="2" borderId="10" xfId="0" applyFont="1" applyFill="1" applyBorder="1"/>
    <xf numFmtId="0" fontId="6" fillId="2" borderId="19" xfId="0" applyFont="1" applyFill="1" applyBorder="1" applyAlignment="1">
      <alignment horizontal="center"/>
    </xf>
    <xf numFmtId="0" fontId="2" fillId="0" borderId="24" xfId="0" applyFont="1" applyBorder="1" applyAlignment="1">
      <alignment horizontal="center" vertical="center" wrapText="1"/>
    </xf>
    <xf numFmtId="2" fontId="2" fillId="2" borderId="0" xfId="0" applyNumberFormat="1" applyFont="1" applyFill="1" applyAlignment="1">
      <alignment horizontal="center" wrapText="1"/>
    </xf>
    <xf numFmtId="44" fontId="2" fillId="2" borderId="10" xfId="0" applyNumberFormat="1" applyFont="1" applyFill="1" applyBorder="1" applyAlignment="1">
      <alignment horizontal="center" wrapText="1"/>
    </xf>
    <xf numFmtId="0" fontId="2" fillId="0" borderId="10" xfId="0" applyFont="1" applyBorder="1" applyAlignment="1">
      <alignment horizontal="left" wrapText="1"/>
    </xf>
    <xf numFmtId="44" fontId="2" fillId="0" borderId="10" xfId="0" applyNumberFormat="1" applyFont="1" applyBorder="1" applyAlignment="1">
      <alignment horizontal="left" wrapText="1"/>
    </xf>
    <xf numFmtId="0" fontId="2" fillId="0" borderId="2" xfId="0" applyFont="1" applyBorder="1" applyAlignment="1">
      <alignment wrapText="1"/>
    </xf>
    <xf numFmtId="39" fontId="2" fillId="4" borderId="16" xfId="0" applyNumberFormat="1" applyFont="1" applyFill="1" applyBorder="1" applyAlignment="1">
      <alignment horizontal="center"/>
    </xf>
    <xf numFmtId="0" fontId="6" fillId="2" borderId="10" xfId="0" applyFont="1" applyFill="1" applyBorder="1" applyAlignment="1">
      <alignment horizontal="center"/>
    </xf>
    <xf numFmtId="44" fontId="6" fillId="2" borderId="10" xfId="0" applyNumberFormat="1" applyFont="1" applyFill="1" applyBorder="1" applyAlignment="1">
      <alignment horizontal="left"/>
    </xf>
    <xf numFmtId="0" fontId="1" fillId="2" borderId="0" xfId="0" applyFont="1" applyFill="1" applyBorder="1"/>
    <xf numFmtId="0" fontId="2" fillId="2" borderId="0" xfId="0" applyFont="1" applyFill="1" applyBorder="1" applyAlignment="1">
      <alignment horizontal="center"/>
    </xf>
    <xf numFmtId="44" fontId="2" fillId="2" borderId="0" xfId="0" applyNumberFormat="1" applyFont="1" applyFill="1" applyBorder="1" applyAlignment="1">
      <alignment horizontal="left"/>
    </xf>
    <xf numFmtId="44" fontId="2" fillId="2" borderId="0" xfId="0" applyNumberFormat="1" applyFont="1" applyFill="1" applyBorder="1" applyAlignment="1">
      <alignment horizontal="center"/>
    </xf>
    <xf numFmtId="44" fontId="2" fillId="0" borderId="10" xfId="0" applyNumberFormat="1" applyFont="1" applyBorder="1" applyAlignment="1">
      <alignment horizontal="center"/>
    </xf>
    <xf numFmtId="44" fontId="2" fillId="2" borderId="10" xfId="0" applyNumberFormat="1" applyFont="1" applyFill="1" applyBorder="1" applyAlignment="1">
      <alignment horizontal="center"/>
    </xf>
    <xf numFmtId="0" fontId="2" fillId="0" borderId="10" xfId="0" applyFont="1" applyBorder="1" applyAlignment="1">
      <alignment horizontal="left"/>
    </xf>
    <xf numFmtId="44" fontId="2" fillId="0" borderId="10" xfId="0" applyNumberFormat="1" applyFont="1" applyBorder="1" applyAlignment="1">
      <alignment horizontal="left"/>
    </xf>
    <xf numFmtId="0" fontId="2" fillId="0" borderId="2" xfId="0" applyFont="1" applyBorder="1" applyAlignment="1"/>
    <xf numFmtId="0" fontId="6" fillId="2" borderId="42" xfId="0" applyFont="1" applyFill="1" applyBorder="1" applyAlignment="1">
      <alignment horizontal="center"/>
    </xf>
    <xf numFmtId="39" fontId="2" fillId="2" borderId="23" xfId="0" applyNumberFormat="1" applyFont="1" applyFill="1" applyBorder="1" applyAlignment="1">
      <alignment horizontal="center" vertical="center" wrapText="1"/>
    </xf>
    <xf numFmtId="0" fontId="6" fillId="2" borderId="2" xfId="0" applyFont="1" applyFill="1" applyBorder="1" applyAlignment="1">
      <alignment horizontal="center"/>
    </xf>
    <xf numFmtId="0" fontId="6" fillId="2" borderId="9" xfId="0" applyFont="1" applyFill="1" applyBorder="1" applyAlignment="1">
      <alignment horizontal="center"/>
    </xf>
    <xf numFmtId="44" fontId="2" fillId="5" borderId="15" xfId="0" applyNumberFormat="1" applyFont="1" applyFill="1" applyBorder="1" applyAlignment="1">
      <alignment horizontal="center" vertical="center" wrapText="1"/>
    </xf>
    <xf numFmtId="44" fontId="2" fillId="0" borderId="10" xfId="0" applyNumberFormat="1" applyFont="1" applyBorder="1" applyAlignment="1">
      <alignment horizontal="center" wrapText="1"/>
    </xf>
    <xf numFmtId="44" fontId="2" fillId="2" borderId="10" xfId="0" applyNumberFormat="1" applyFont="1" applyFill="1" applyBorder="1" applyAlignment="1">
      <alignment horizontal="left" wrapText="1"/>
    </xf>
    <xf numFmtId="0" fontId="1" fillId="2" borderId="0" xfId="0" applyFont="1" applyFill="1" applyBorder="1" applyAlignment="1"/>
    <xf numFmtId="0" fontId="2" fillId="0" borderId="0" xfId="0" applyFont="1" applyBorder="1" applyAlignment="1">
      <alignment horizontal="left"/>
    </xf>
    <xf numFmtId="44" fontId="2" fillId="0" borderId="0" xfId="0" applyNumberFormat="1" applyFont="1" applyBorder="1" applyAlignment="1">
      <alignment horizontal="left"/>
    </xf>
    <xf numFmtId="0" fontId="2" fillId="0" borderId="0" xfId="0" applyFont="1" applyBorder="1" applyAlignment="1"/>
    <xf numFmtId="0" fontId="1" fillId="0" borderId="2" xfId="0" applyFont="1" applyBorder="1"/>
    <xf numFmtId="0" fontId="1" fillId="0" borderId="31" xfId="0" applyFont="1" applyBorder="1"/>
    <xf numFmtId="44" fontId="9" fillId="6" borderId="10" xfId="0" applyNumberFormat="1" applyFont="1" applyFill="1" applyBorder="1" applyAlignment="1">
      <alignment horizontal="center" vertical="center" wrapText="1"/>
    </xf>
    <xf numFmtId="44" fontId="9" fillId="6" borderId="1" xfId="0" applyNumberFormat="1" applyFont="1" applyFill="1" applyBorder="1" applyAlignment="1">
      <alignment horizontal="center" vertical="center" wrapText="1"/>
    </xf>
    <xf numFmtId="0" fontId="1" fillId="2" borderId="2" xfId="0" applyFont="1" applyFill="1" applyBorder="1" applyAlignment="1"/>
    <xf numFmtId="0" fontId="1" fillId="2" borderId="6" xfId="0" applyFont="1" applyFill="1" applyBorder="1" applyAlignment="1"/>
    <xf numFmtId="0" fontId="2" fillId="0" borderId="0" xfId="0" applyFont="1" applyBorder="1" applyAlignment="1">
      <alignment horizontal="center" vertical="center" wrapText="1"/>
    </xf>
    <xf numFmtId="44" fontId="2" fillId="0" borderId="43" xfId="0" applyNumberFormat="1" applyFont="1" applyBorder="1" applyAlignment="1">
      <alignment horizontal="center" vertical="center" wrapText="1"/>
    </xf>
    <xf numFmtId="0" fontId="0" fillId="0" borderId="10" xfId="0" applyBorder="1"/>
    <xf numFmtId="0" fontId="0" fillId="9" borderId="10" xfId="0" applyFill="1" applyBorder="1"/>
    <xf numFmtId="0" fontId="14" fillId="0" borderId="10" xfId="0" applyFont="1" applyBorder="1"/>
    <xf numFmtId="0" fontId="13" fillId="9" borderId="10" xfId="0" applyFont="1" applyFill="1" applyBorder="1" applyAlignment="1">
      <alignment horizontal="left"/>
    </xf>
    <xf numFmtId="0" fontId="12" fillId="0" borderId="10" xfId="0" applyFont="1" applyBorder="1" applyAlignment="1">
      <alignment horizontal="center"/>
    </xf>
    <xf numFmtId="0" fontId="12" fillId="8" borderId="10" xfId="0" applyFont="1" applyFill="1" applyBorder="1"/>
    <xf numFmtId="0" fontId="14" fillId="0" borderId="10" xfId="0" applyFont="1" applyBorder="1" applyAlignment="1"/>
    <xf numFmtId="0" fontId="14" fillId="8" borderId="10" xfId="0" applyFont="1" applyFill="1" applyBorder="1"/>
    <xf numFmtId="0" fontId="15" fillId="0" borderId="0" xfId="0" applyFont="1"/>
    <xf numFmtId="0" fontId="13" fillId="9" borderId="10" xfId="0" applyFont="1" applyFill="1" applyBorder="1" applyAlignment="1">
      <alignment horizontal="center"/>
    </xf>
    <xf numFmtId="0" fontId="12" fillId="8" borderId="10" xfId="0" applyFont="1" applyFill="1" applyBorder="1" applyAlignment="1">
      <alignment horizontal="center"/>
    </xf>
    <xf numFmtId="0" fontId="14" fillId="8" borderId="10" xfId="0" applyFont="1" applyFill="1" applyBorder="1" applyAlignment="1">
      <alignment horizontal="center"/>
    </xf>
    <xf numFmtId="0" fontId="3" fillId="8" borderId="10" xfId="0" applyFont="1" applyFill="1" applyBorder="1" applyAlignment="1">
      <alignment horizontal="center"/>
    </xf>
    <xf numFmtId="0" fontId="15" fillId="0" borderId="0" xfId="0" applyFont="1" applyAlignment="1">
      <alignment horizontal="center"/>
    </xf>
    <xf numFmtId="0" fontId="0" fillId="0" borderId="0" xfId="0" applyAlignment="1">
      <alignment horizontal="center"/>
    </xf>
    <xf numFmtId="0" fontId="13" fillId="8" borderId="10" xfId="0" applyFont="1" applyFill="1" applyBorder="1"/>
    <xf numFmtId="0" fontId="1" fillId="2" borderId="2" xfId="0" applyFont="1" applyFill="1" applyBorder="1" applyAlignment="1"/>
    <xf numFmtId="0" fontId="1" fillId="2" borderId="6" xfId="0" applyFont="1" applyFill="1" applyBorder="1" applyAlignment="1"/>
    <xf numFmtId="0" fontId="1" fillId="2" borderId="2" xfId="0" applyFont="1" applyFill="1" applyBorder="1" applyAlignment="1">
      <alignment wrapText="1"/>
    </xf>
    <xf numFmtId="0" fontId="1" fillId="2" borderId="6" xfId="0" applyFont="1" applyFill="1" applyBorder="1" applyAlignment="1">
      <alignment wrapText="1"/>
    </xf>
    <xf numFmtId="0" fontId="0" fillId="0" borderId="2" xfId="0" applyBorder="1" applyAlignment="1"/>
    <xf numFmtId="0" fontId="0" fillId="0" borderId="31" xfId="0" applyBorder="1" applyAlignment="1"/>
    <xf numFmtId="0" fontId="0" fillId="0" borderId="2" xfId="0" applyBorder="1"/>
    <xf numFmtId="0" fontId="0" fillId="0" borderId="31" xfId="0" applyBorder="1"/>
    <xf numFmtId="0" fontId="0" fillId="0" borderId="32" xfId="0" applyBorder="1"/>
    <xf numFmtId="0" fontId="0" fillId="0" borderId="27" xfId="0" applyBorder="1"/>
    <xf numFmtId="0" fontId="1" fillId="0" borderId="2" xfId="0" applyFont="1" applyBorder="1"/>
    <xf numFmtId="0" fontId="1" fillId="0" borderId="31" xfId="0" applyFont="1" applyBorder="1"/>
    <xf numFmtId="44" fontId="9" fillId="6" borderId="10" xfId="0" applyNumberFormat="1" applyFont="1" applyFill="1" applyBorder="1" applyAlignment="1">
      <alignment horizontal="center" vertical="center" wrapText="1"/>
    </xf>
    <xf numFmtId="0" fontId="2" fillId="4" borderId="16" xfId="0" applyFont="1" applyFill="1" applyBorder="1" applyAlignment="1">
      <alignment horizontal="center"/>
    </xf>
    <xf numFmtId="0" fontId="2" fillId="4" borderId="0" xfId="0" applyFont="1" applyFill="1" applyBorder="1" applyAlignment="1">
      <alignment horizontal="center"/>
    </xf>
    <xf numFmtId="0" fontId="2" fillId="4" borderId="12" xfId="0" applyFont="1" applyFill="1" applyBorder="1" applyAlignment="1">
      <alignment horizontal="center"/>
    </xf>
    <xf numFmtId="0" fontId="10" fillId="6" borderId="7" xfId="0" applyFont="1" applyFill="1" applyBorder="1" applyAlignment="1">
      <alignment horizontal="left"/>
    </xf>
    <xf numFmtId="0" fontId="10" fillId="6" borderId="30" xfId="0" applyFont="1" applyFill="1" applyBorder="1" applyAlignment="1">
      <alignment horizontal="left"/>
    </xf>
    <xf numFmtId="0" fontId="3" fillId="2" borderId="16" xfId="0" applyFont="1" applyFill="1" applyBorder="1" applyAlignment="1">
      <alignment horizontal="center" vertical="center"/>
    </xf>
    <xf numFmtId="0" fontId="3" fillId="2" borderId="0" xfId="0" applyFont="1" applyFill="1" applyBorder="1" applyAlignment="1">
      <alignment horizontal="center" vertical="center"/>
    </xf>
    <xf numFmtId="0" fontId="10" fillId="6" borderId="16" xfId="0" applyFont="1" applyFill="1" applyBorder="1" applyAlignment="1">
      <alignment horizontal="left" wrapText="1"/>
    </xf>
    <xf numFmtId="0" fontId="10" fillId="6" borderId="12" xfId="0" applyFont="1" applyFill="1" applyBorder="1" applyAlignment="1">
      <alignment horizontal="left" wrapText="1"/>
    </xf>
    <xf numFmtId="0" fontId="10" fillId="6" borderId="7" xfId="0" applyFont="1" applyFill="1" applyBorder="1" applyAlignment="1">
      <alignment horizontal="left" wrapText="1"/>
    </xf>
    <xf numFmtId="0" fontId="10" fillId="6" borderId="30" xfId="0" applyFont="1" applyFill="1" applyBorder="1" applyAlignment="1">
      <alignment horizontal="left" wrapText="1"/>
    </xf>
    <xf numFmtId="0" fontId="0" fillId="0" borderId="9" xfId="0" applyBorder="1"/>
    <xf numFmtId="0" fontId="6" fillId="2" borderId="2" xfId="0" applyFont="1" applyFill="1" applyBorder="1" applyAlignment="1">
      <alignment horizontal="left"/>
    </xf>
    <xf numFmtId="0" fontId="6" fillId="2" borderId="9" xfId="0" applyFont="1" applyFill="1" applyBorder="1" applyAlignment="1">
      <alignment horizontal="left"/>
    </xf>
    <xf numFmtId="0" fontId="6" fillId="2" borderId="31" xfId="0" applyFont="1" applyFill="1" applyBorder="1" applyAlignment="1">
      <alignment horizontal="left"/>
    </xf>
    <xf numFmtId="0" fontId="0" fillId="0" borderId="33" xfId="0" applyBorder="1"/>
    <xf numFmtId="44" fontId="9" fillId="6" borderId="28" xfId="0" applyNumberFormat="1" applyFont="1" applyFill="1" applyBorder="1" applyAlignment="1">
      <alignment horizontal="center" vertical="center" wrapText="1"/>
    </xf>
    <xf numFmtId="44" fontId="9" fillId="6" borderId="29" xfId="0" applyNumberFormat="1" applyFont="1" applyFill="1" applyBorder="1" applyAlignment="1">
      <alignment horizontal="center" vertical="center" wrapText="1"/>
    </xf>
    <xf numFmtId="0" fontId="1" fillId="2" borderId="2" xfId="0" applyFont="1" applyFill="1" applyBorder="1" applyAlignment="1">
      <alignment horizontal="left"/>
    </xf>
    <xf numFmtId="44" fontId="2" fillId="4" borderId="28" xfId="0" applyNumberFormat="1" applyFont="1" applyFill="1" applyBorder="1" applyAlignment="1">
      <alignment horizontal="center" vertical="center" wrapText="1"/>
    </xf>
    <xf numFmtId="44" fontId="2" fillId="4" borderId="29" xfId="0" applyNumberFormat="1" applyFont="1" applyFill="1" applyBorder="1" applyAlignment="1">
      <alignment horizontal="center" vertical="center" wrapText="1"/>
    </xf>
    <xf numFmtId="164" fontId="9" fillId="6" borderId="21" xfId="0" applyNumberFormat="1" applyFont="1" applyFill="1" applyBorder="1" applyAlignment="1">
      <alignment horizontal="center" vertical="center" wrapText="1"/>
    </xf>
    <xf numFmtId="164" fontId="9" fillId="6" borderId="37" xfId="0" applyNumberFormat="1" applyFont="1" applyFill="1" applyBorder="1" applyAlignment="1">
      <alignment horizontal="center" vertical="center" wrapText="1"/>
    </xf>
    <xf numFmtId="39" fontId="2" fillId="4" borderId="26" xfId="0" applyNumberFormat="1" applyFont="1" applyFill="1" applyBorder="1" applyAlignment="1">
      <alignment horizontal="center"/>
    </xf>
    <xf numFmtId="39" fontId="2" fillId="4" borderId="27" xfId="0" applyNumberFormat="1" applyFont="1" applyFill="1" applyBorder="1" applyAlignment="1">
      <alignment horizontal="center"/>
    </xf>
    <xf numFmtId="44" fontId="9" fillId="6" borderId="38" xfId="0" applyNumberFormat="1" applyFont="1" applyFill="1" applyBorder="1" applyAlignment="1">
      <alignment horizontal="center" vertical="center" wrapText="1"/>
    </xf>
    <xf numFmtId="44" fontId="9" fillId="6" borderId="39" xfId="0" applyNumberFormat="1" applyFont="1" applyFill="1" applyBorder="1" applyAlignment="1">
      <alignment horizontal="center" vertical="center" wrapText="1"/>
    </xf>
    <xf numFmtId="0" fontId="1" fillId="2" borderId="32" xfId="0" applyFont="1" applyFill="1" applyBorder="1" applyAlignment="1">
      <alignment horizontal="left"/>
    </xf>
    <xf numFmtId="0" fontId="6" fillId="2" borderId="33" xfId="0" applyFont="1" applyFill="1" applyBorder="1" applyAlignment="1">
      <alignment horizontal="left"/>
    </xf>
    <xf numFmtId="0" fontId="6" fillId="2" borderId="27" xfId="0" applyFont="1" applyFill="1" applyBorder="1" applyAlignment="1">
      <alignment horizontal="left"/>
    </xf>
    <xf numFmtId="0" fontId="2" fillId="2" borderId="2" xfId="0" applyFont="1" applyFill="1" applyBorder="1" applyAlignment="1">
      <alignment horizontal="left"/>
    </xf>
    <xf numFmtId="0" fontId="2" fillId="2" borderId="9" xfId="0" applyFont="1" applyFill="1" applyBorder="1" applyAlignment="1">
      <alignment horizontal="left"/>
    </xf>
    <xf numFmtId="0" fontId="2" fillId="2" borderId="31" xfId="0" applyFont="1" applyFill="1" applyBorder="1" applyAlignment="1">
      <alignment horizontal="left"/>
    </xf>
    <xf numFmtId="0" fontId="10" fillId="6" borderId="13" xfId="0" applyFont="1" applyFill="1" applyBorder="1" applyAlignment="1">
      <alignment horizontal="left"/>
    </xf>
    <xf numFmtId="0" fontId="10" fillId="6" borderId="14" xfId="0" applyFont="1" applyFill="1" applyBorder="1" applyAlignment="1">
      <alignment horizontal="left"/>
    </xf>
    <xf numFmtId="0" fontId="10" fillId="6" borderId="15" xfId="0" applyFont="1" applyFill="1" applyBorder="1" applyAlignment="1">
      <alignment horizontal="left"/>
    </xf>
    <xf numFmtId="0" fontId="10" fillId="6" borderId="17" xfId="0" applyFont="1" applyFill="1" applyBorder="1" applyAlignment="1">
      <alignment horizontal="left"/>
    </xf>
    <xf numFmtId="0" fontId="2" fillId="4" borderId="26" xfId="0" applyFont="1" applyFill="1" applyBorder="1" applyAlignment="1">
      <alignment horizontal="center"/>
    </xf>
    <xf numFmtId="0" fontId="2" fillId="4" borderId="27" xfId="0" applyFont="1" applyFill="1" applyBorder="1" applyAlignment="1">
      <alignment horizontal="center"/>
    </xf>
    <xf numFmtId="0" fontId="6" fillId="2" borderId="32" xfId="0" applyFont="1" applyFill="1" applyBorder="1" applyAlignment="1">
      <alignment horizontal="left"/>
    </xf>
    <xf numFmtId="44" fontId="9" fillId="6" borderId="1" xfId="0" applyNumberFormat="1" applyFont="1" applyFill="1" applyBorder="1" applyAlignment="1">
      <alignment horizontal="center" vertical="center" wrapText="1"/>
    </xf>
    <xf numFmtId="44" fontId="2" fillId="4" borderId="1" xfId="0" applyNumberFormat="1" applyFont="1" applyFill="1" applyBorder="1" applyAlignment="1">
      <alignment horizontal="center" vertical="center" wrapText="1"/>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0" xfId="0" applyFont="1" applyFill="1" applyAlignment="1">
      <alignment horizontal="center" vertical="center"/>
    </xf>
    <xf numFmtId="0" fontId="3" fillId="2" borderId="12" xfId="0" applyFont="1" applyFill="1" applyBorder="1" applyAlignment="1">
      <alignment horizontal="center" vertical="center"/>
    </xf>
    <xf numFmtId="0" fontId="6" fillId="2" borderId="34" xfId="0" applyFont="1" applyFill="1" applyBorder="1"/>
    <xf numFmtId="0" fontId="6" fillId="0" borderId="35" xfId="0" applyFont="1" applyBorder="1"/>
    <xf numFmtId="0" fontId="6" fillId="0" borderId="36" xfId="0" applyFont="1" applyBorder="1"/>
  </cellXfs>
  <cellStyles count="1">
    <cellStyle name="Normal" xfId="0" builtinId="0"/>
  </cellStyles>
  <dxfs count="1">
    <dxf>
      <fill>
        <patternFill patternType="solid">
          <fgColor rgb="FFFFFFFF"/>
          <bgColor rgb="FF0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99CCFF"/>
      <rgbColor rgb="00FFCC99"/>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CC"/>
      <color rgb="FF376091"/>
      <color rgb="FFCADCEE"/>
      <color rgb="FFBAE965"/>
      <color rgb="FFB4C9E2"/>
      <color rgb="FFFFF0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2.bin"/><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F57"/>
  <sheetViews>
    <sheetView tabSelected="1" workbookViewId="0">
      <selection activeCell="D22" sqref="D22"/>
    </sheetView>
  </sheetViews>
  <sheetFormatPr defaultRowHeight="12.75"/>
  <cols>
    <col min="1" max="1" width="26.85546875" customWidth="1"/>
    <col min="2" max="2" width="10.5703125" style="124" customWidth="1"/>
    <col min="4" max="4" width="31.140625" customWidth="1"/>
    <col min="5" max="5" width="9.5703125" customWidth="1"/>
  </cols>
  <sheetData>
    <row r="1" spans="1:6" ht="18">
      <c r="A1" s="113" t="s">
        <v>152</v>
      </c>
      <c r="B1" s="119"/>
      <c r="C1" s="111"/>
      <c r="D1" s="110"/>
      <c r="E1" s="110"/>
      <c r="F1" s="110"/>
    </row>
    <row r="2" spans="1:6" ht="15.75">
      <c r="A2" s="112"/>
      <c r="B2" s="114" t="s">
        <v>206</v>
      </c>
      <c r="C2" s="114" t="s">
        <v>189</v>
      </c>
      <c r="D2" s="112"/>
      <c r="E2" s="114" t="s">
        <v>206</v>
      </c>
      <c r="F2" s="114" t="s">
        <v>190</v>
      </c>
    </row>
    <row r="3" spans="1:6" ht="15.75">
      <c r="A3" s="115" t="s">
        <v>153</v>
      </c>
      <c r="B3" s="120"/>
      <c r="C3" s="112"/>
      <c r="D3" s="115" t="s">
        <v>176</v>
      </c>
      <c r="E3" s="115"/>
      <c r="F3" s="116"/>
    </row>
    <row r="4" spans="1:6" ht="15">
      <c r="A4" s="117" t="s">
        <v>85</v>
      </c>
      <c r="B4" s="121"/>
      <c r="C4" s="112"/>
      <c r="D4" s="117"/>
      <c r="E4" s="117"/>
      <c r="F4" s="112"/>
    </row>
    <row r="5" spans="1:6" ht="15">
      <c r="A5" s="117" t="s">
        <v>154</v>
      </c>
      <c r="B5" s="121"/>
      <c r="C5" s="112"/>
      <c r="D5" s="117" t="s">
        <v>177</v>
      </c>
      <c r="E5" s="117"/>
      <c r="F5" s="112"/>
    </row>
    <row r="6" spans="1:6" ht="15">
      <c r="A6" s="117" t="s">
        <v>155</v>
      </c>
      <c r="B6" s="121"/>
      <c r="C6" s="112"/>
      <c r="D6" s="117" t="s">
        <v>178</v>
      </c>
      <c r="E6" s="117"/>
      <c r="F6" s="112"/>
    </row>
    <row r="7" spans="1:6" ht="15">
      <c r="A7" s="117" t="s">
        <v>156</v>
      </c>
      <c r="B7" s="121"/>
      <c r="C7" s="112"/>
      <c r="D7" s="117" t="s">
        <v>179</v>
      </c>
      <c r="E7" s="117"/>
      <c r="F7" s="112"/>
    </row>
    <row r="8" spans="1:6" ht="15">
      <c r="A8" s="117" t="s">
        <v>209</v>
      </c>
      <c r="B8" s="121"/>
      <c r="C8" s="112"/>
      <c r="D8" s="117" t="s">
        <v>180</v>
      </c>
      <c r="E8" s="117"/>
      <c r="F8" s="112"/>
    </row>
    <row r="9" spans="1:6" ht="15.75">
      <c r="A9" s="115" t="s">
        <v>157</v>
      </c>
      <c r="B9" s="120"/>
      <c r="C9" s="112"/>
      <c r="D9" s="117" t="s">
        <v>181</v>
      </c>
      <c r="E9" s="117"/>
      <c r="F9" s="112"/>
    </row>
    <row r="10" spans="1:6" ht="15">
      <c r="A10" s="117" t="s">
        <v>129</v>
      </c>
      <c r="B10" s="121"/>
      <c r="C10" s="112"/>
      <c r="D10" s="117"/>
      <c r="E10" s="117"/>
      <c r="F10" s="112"/>
    </row>
    <row r="11" spans="1:6" ht="15.75">
      <c r="A11" s="117" t="s">
        <v>118</v>
      </c>
      <c r="B11" s="121"/>
      <c r="C11" s="112"/>
      <c r="D11" s="115" t="s">
        <v>182</v>
      </c>
      <c r="E11" s="115"/>
      <c r="F11" s="112"/>
    </row>
    <row r="12" spans="1:6" ht="15">
      <c r="A12" s="117" t="s">
        <v>158</v>
      </c>
      <c r="B12" s="121"/>
      <c r="C12" s="112"/>
      <c r="D12" s="117" t="s">
        <v>183</v>
      </c>
      <c r="E12" s="117"/>
      <c r="F12" s="112"/>
    </row>
    <row r="13" spans="1:6" ht="15">
      <c r="A13" s="117" t="s">
        <v>159</v>
      </c>
      <c r="B13" s="121"/>
      <c r="C13" s="112"/>
      <c r="D13" s="117" t="s">
        <v>184</v>
      </c>
      <c r="E13" s="117"/>
      <c r="F13" s="112"/>
    </row>
    <row r="14" spans="1:6" ht="15">
      <c r="A14" s="117" t="s">
        <v>160</v>
      </c>
      <c r="B14" s="121"/>
      <c r="C14" s="112"/>
      <c r="D14" s="117" t="s">
        <v>186</v>
      </c>
      <c r="E14" s="117"/>
      <c r="F14" s="112"/>
    </row>
    <row r="15" spans="1:6" ht="15">
      <c r="A15" s="117"/>
      <c r="B15" s="121"/>
      <c r="C15" s="112"/>
      <c r="D15" s="117" t="s">
        <v>185</v>
      </c>
      <c r="E15" s="117"/>
      <c r="F15" s="112"/>
    </row>
    <row r="16" spans="1:6" ht="15.75">
      <c r="A16" s="115" t="s">
        <v>161</v>
      </c>
      <c r="B16" s="120"/>
      <c r="C16" s="112"/>
      <c r="D16" s="117" t="s">
        <v>187</v>
      </c>
      <c r="E16" s="117"/>
      <c r="F16" s="112"/>
    </row>
    <row r="17" spans="1:6" ht="15">
      <c r="A17" s="117" t="s">
        <v>164</v>
      </c>
      <c r="B17" s="121"/>
      <c r="C17" s="112"/>
      <c r="D17" s="117" t="s">
        <v>194</v>
      </c>
      <c r="E17" s="117"/>
      <c r="F17" s="112"/>
    </row>
    <row r="18" spans="1:6" ht="15">
      <c r="A18" s="117" t="s">
        <v>165</v>
      </c>
      <c r="B18" s="121"/>
      <c r="C18" s="112"/>
      <c r="D18" s="117" t="s">
        <v>195</v>
      </c>
      <c r="E18" s="117"/>
      <c r="F18" s="112"/>
    </row>
    <row r="19" spans="1:6" ht="15">
      <c r="A19" s="117" t="s">
        <v>162</v>
      </c>
      <c r="B19" s="121"/>
      <c r="C19" s="112"/>
      <c r="D19" s="117" t="s">
        <v>188</v>
      </c>
      <c r="E19" s="117"/>
      <c r="F19" s="112"/>
    </row>
    <row r="20" spans="1:6" ht="15">
      <c r="A20" s="117" t="s">
        <v>167</v>
      </c>
      <c r="B20" s="121"/>
      <c r="C20" s="112"/>
      <c r="D20" s="117" t="s">
        <v>196</v>
      </c>
      <c r="E20" s="117"/>
      <c r="F20" s="112"/>
    </row>
    <row r="21" spans="1:6" ht="15">
      <c r="A21" s="117" t="s">
        <v>166</v>
      </c>
      <c r="B21" s="121"/>
      <c r="C21" s="112"/>
      <c r="D21" s="117" t="s">
        <v>175</v>
      </c>
      <c r="E21" s="117"/>
      <c r="F21" s="112"/>
    </row>
    <row r="22" spans="1:6" ht="15">
      <c r="A22" s="117"/>
      <c r="B22" s="121"/>
      <c r="C22" s="112"/>
      <c r="D22" s="117" t="s">
        <v>216</v>
      </c>
      <c r="E22" s="117"/>
      <c r="F22" s="112"/>
    </row>
    <row r="23" spans="1:6" ht="15.75">
      <c r="A23" s="115" t="s">
        <v>168</v>
      </c>
      <c r="B23" s="121"/>
      <c r="C23" s="112"/>
      <c r="D23" s="117" t="s">
        <v>208</v>
      </c>
      <c r="E23" s="117"/>
      <c r="F23" s="112"/>
    </row>
    <row r="24" spans="1:6" ht="15">
      <c r="A24" s="117" t="s">
        <v>162</v>
      </c>
      <c r="B24" s="121"/>
      <c r="C24" s="112"/>
      <c r="D24" s="117" t="s">
        <v>213</v>
      </c>
      <c r="E24" s="117"/>
      <c r="F24" s="112"/>
    </row>
    <row r="25" spans="1:6" ht="15">
      <c r="A25" s="117" t="s">
        <v>163</v>
      </c>
      <c r="B25" s="121"/>
      <c r="C25" s="112"/>
      <c r="D25" s="117" t="s">
        <v>212</v>
      </c>
      <c r="E25" s="117"/>
      <c r="F25" s="112"/>
    </row>
    <row r="26" spans="1:6" ht="15">
      <c r="A26" s="117" t="s">
        <v>169</v>
      </c>
      <c r="B26" s="121"/>
      <c r="C26" s="112"/>
      <c r="D26" s="117" t="s">
        <v>214</v>
      </c>
      <c r="E26" s="117"/>
      <c r="F26" s="112"/>
    </row>
    <row r="27" spans="1:6" ht="15">
      <c r="A27" s="117" t="s">
        <v>170</v>
      </c>
      <c r="B27" s="121"/>
      <c r="C27" s="112"/>
      <c r="D27" s="117" t="s">
        <v>215</v>
      </c>
      <c r="E27" s="117"/>
      <c r="F27" s="112"/>
    </row>
    <row r="28" spans="1:6" ht="15">
      <c r="A28" s="117" t="s">
        <v>171</v>
      </c>
      <c r="B28" s="121"/>
      <c r="C28" s="112"/>
      <c r="D28" s="117"/>
      <c r="E28" s="117"/>
      <c r="F28" s="112"/>
    </row>
    <row r="29" spans="1:6" ht="18">
      <c r="A29" s="115"/>
      <c r="B29" s="120"/>
      <c r="C29" s="112"/>
      <c r="D29" s="125" t="s">
        <v>197</v>
      </c>
      <c r="E29" s="122"/>
      <c r="F29" s="112"/>
    </row>
    <row r="30" spans="1:6" ht="15.75">
      <c r="A30" s="115" t="s">
        <v>172</v>
      </c>
      <c r="B30" s="121"/>
      <c r="C30" s="112"/>
      <c r="D30" s="117"/>
      <c r="E30" s="121"/>
      <c r="F30" s="112"/>
    </row>
    <row r="31" spans="1:6" ht="15.75">
      <c r="A31" s="117" t="s">
        <v>162</v>
      </c>
      <c r="B31" s="121"/>
      <c r="C31" s="112"/>
      <c r="D31" s="117" t="s">
        <v>207</v>
      </c>
      <c r="E31" s="121"/>
      <c r="F31" s="112"/>
    </row>
    <row r="32" spans="1:6" ht="15">
      <c r="A32" s="117" t="s">
        <v>163</v>
      </c>
      <c r="B32" s="121"/>
      <c r="C32" s="112"/>
      <c r="D32" s="117" t="s">
        <v>198</v>
      </c>
      <c r="E32" s="121"/>
      <c r="F32" s="112"/>
    </row>
    <row r="33" spans="1:6" ht="15">
      <c r="A33" s="117" t="s">
        <v>169</v>
      </c>
      <c r="B33" s="121"/>
      <c r="C33" s="112"/>
      <c r="D33" s="117" t="s">
        <v>204</v>
      </c>
      <c r="E33" s="121"/>
      <c r="F33" s="112"/>
    </row>
    <row r="34" spans="1:6" ht="15">
      <c r="A34" s="117" t="s">
        <v>173</v>
      </c>
      <c r="B34" s="121"/>
      <c r="C34" s="112"/>
      <c r="D34" s="117" t="s">
        <v>199</v>
      </c>
      <c r="E34" s="121"/>
      <c r="F34" s="112"/>
    </row>
    <row r="35" spans="1:6" ht="15">
      <c r="A35" s="117"/>
      <c r="B35" s="121"/>
      <c r="C35" s="112"/>
      <c r="D35" s="117" t="s">
        <v>200</v>
      </c>
      <c r="E35" s="121"/>
      <c r="F35" s="112"/>
    </row>
    <row r="36" spans="1:6" ht="15.75">
      <c r="A36" s="115" t="s">
        <v>191</v>
      </c>
      <c r="B36" s="120"/>
      <c r="C36" s="112"/>
      <c r="D36" s="117" t="s">
        <v>201</v>
      </c>
      <c r="E36" s="121"/>
      <c r="F36" s="112"/>
    </row>
    <row r="37" spans="1:6" ht="15">
      <c r="A37" s="117" t="s">
        <v>174</v>
      </c>
      <c r="B37" s="121"/>
      <c r="C37" s="112"/>
      <c r="D37" s="117"/>
      <c r="E37" s="121"/>
      <c r="F37" s="112"/>
    </row>
    <row r="38" spans="1:6" ht="15.75">
      <c r="A38" s="117" t="s">
        <v>175</v>
      </c>
      <c r="B38" s="121"/>
      <c r="C38" s="112"/>
      <c r="D38" s="115" t="s">
        <v>202</v>
      </c>
      <c r="E38" s="121"/>
      <c r="F38" s="112"/>
    </row>
    <row r="39" spans="1:6" ht="15">
      <c r="A39" s="117" t="s">
        <v>192</v>
      </c>
      <c r="B39" s="121"/>
      <c r="C39" s="112"/>
      <c r="D39" s="117" t="s">
        <v>203</v>
      </c>
      <c r="E39" s="121"/>
      <c r="F39" s="112"/>
    </row>
    <row r="40" spans="1:6" ht="15">
      <c r="A40" s="117" t="s">
        <v>193</v>
      </c>
      <c r="B40" s="121"/>
      <c r="C40" s="112"/>
      <c r="D40" s="117" t="s">
        <v>204</v>
      </c>
      <c r="E40" s="121"/>
      <c r="F40" s="112"/>
    </row>
    <row r="41" spans="1:6" ht="15">
      <c r="A41" s="117" t="s">
        <v>210</v>
      </c>
      <c r="B41" s="121"/>
      <c r="C41" s="112"/>
      <c r="D41" s="117" t="s">
        <v>205</v>
      </c>
      <c r="E41" s="121"/>
      <c r="F41" s="112"/>
    </row>
    <row r="42" spans="1:6" ht="15.75">
      <c r="A42" s="117" t="s">
        <v>174</v>
      </c>
      <c r="B42" s="120"/>
      <c r="C42" s="112"/>
      <c r="D42" s="117"/>
      <c r="E42" s="121"/>
      <c r="F42" s="112"/>
    </row>
    <row r="43" spans="1:6" ht="15">
      <c r="A43" s="117" t="s">
        <v>211</v>
      </c>
      <c r="B43" s="121"/>
      <c r="C43" s="112"/>
      <c r="D43" s="117"/>
      <c r="E43" s="117"/>
      <c r="F43" s="112"/>
    </row>
    <row r="44" spans="1:6" ht="15">
      <c r="A44" s="117"/>
      <c r="B44" s="121"/>
      <c r="C44" s="112"/>
      <c r="D44" s="117"/>
      <c r="E44" s="117"/>
      <c r="F44" s="112"/>
    </row>
    <row r="45" spans="1:6" ht="15">
      <c r="A45" s="117"/>
      <c r="B45" s="121"/>
      <c r="C45" s="112"/>
      <c r="D45" s="117"/>
      <c r="E45" s="117"/>
      <c r="F45" s="112"/>
    </row>
    <row r="46" spans="1:6" ht="15">
      <c r="A46" s="117"/>
      <c r="B46" s="121"/>
      <c r="C46" s="112"/>
      <c r="D46" s="117"/>
      <c r="E46" s="117"/>
      <c r="F46" s="112"/>
    </row>
    <row r="47" spans="1:6" ht="15">
      <c r="A47" s="117"/>
      <c r="B47" s="121"/>
      <c r="C47" s="112"/>
      <c r="D47" s="117"/>
      <c r="E47" s="117"/>
      <c r="F47" s="112"/>
    </row>
    <row r="48" spans="1:6" ht="15">
      <c r="A48" s="117"/>
      <c r="B48" s="121"/>
      <c r="C48" s="112"/>
      <c r="D48" s="117"/>
      <c r="E48" s="117"/>
      <c r="F48" s="112"/>
    </row>
    <row r="49" spans="1:6" ht="15">
      <c r="A49" s="117"/>
      <c r="B49" s="121"/>
      <c r="C49" s="112"/>
      <c r="D49" s="117"/>
      <c r="E49" s="117"/>
      <c r="F49" s="112"/>
    </row>
    <row r="50" spans="1:6" ht="15">
      <c r="A50" s="117"/>
      <c r="B50" s="121"/>
      <c r="C50" s="112"/>
      <c r="D50" s="117"/>
      <c r="E50" s="117"/>
      <c r="F50" s="112"/>
    </row>
    <row r="51" spans="1:6" ht="15">
      <c r="A51" s="117"/>
      <c r="B51" s="121"/>
      <c r="C51" s="112"/>
      <c r="D51" s="117"/>
      <c r="E51" s="117"/>
      <c r="F51" s="112"/>
    </row>
    <row r="52" spans="1:6" ht="15">
      <c r="A52" s="117"/>
      <c r="B52" s="121"/>
      <c r="C52" s="112"/>
      <c r="D52" s="117"/>
      <c r="E52" s="117"/>
      <c r="F52" s="112"/>
    </row>
    <row r="57" spans="1:6" ht="20.25">
      <c r="A57" s="118"/>
      <c r="B57" s="123"/>
    </row>
  </sheetData>
  <pageMargins left="0.45" right="0.22" top="0.59"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C1:N62"/>
  <sheetViews>
    <sheetView showGridLines="0" zoomScaleNormal="100" workbookViewId="0">
      <selection activeCell="Q14" sqref="Q14"/>
    </sheetView>
  </sheetViews>
  <sheetFormatPr defaultColWidth="9.140625" defaultRowHeight="12.75"/>
  <cols>
    <col min="1" max="2" width="3.42578125" style="6" customWidth="1"/>
    <col min="3" max="3" width="21.42578125" style="6" customWidth="1"/>
    <col min="4" max="4" width="12.7109375" style="6" customWidth="1"/>
    <col min="5" max="6" width="9.7109375" style="9" customWidth="1"/>
    <col min="7" max="7" width="9.140625" style="11"/>
    <col min="8" max="8" width="13.42578125" style="11" customWidth="1"/>
    <col min="9" max="9" width="12.85546875" style="6" customWidth="1"/>
    <col min="10" max="14" width="0" style="6" hidden="1" customWidth="1"/>
    <col min="15" max="16384" width="9.140625" style="6"/>
  </cols>
  <sheetData>
    <row r="1" spans="3:14" ht="23.25">
      <c r="C1" s="41" t="s">
        <v>140</v>
      </c>
      <c r="E1" s="6"/>
      <c r="F1" s="6"/>
      <c r="G1" s="9"/>
      <c r="H1" s="7"/>
      <c r="I1" s="11"/>
    </row>
    <row r="2" spans="3:14" ht="16.5" customHeight="1">
      <c r="C2" s="6" t="s">
        <v>45</v>
      </c>
      <c r="E2" s="6"/>
      <c r="F2" s="6"/>
      <c r="G2" s="9"/>
      <c r="H2" s="7" t="s">
        <v>0</v>
      </c>
      <c r="I2" s="11"/>
    </row>
    <row r="3" spans="3:14" s="83" customFormat="1" ht="30.75" customHeight="1" thickBot="1">
      <c r="C3" s="144" t="s">
        <v>150</v>
      </c>
      <c r="D3" s="145"/>
      <c r="E3" s="36" t="s">
        <v>107</v>
      </c>
      <c r="F3" s="108" t="s">
        <v>102</v>
      </c>
      <c r="G3" s="109" t="s">
        <v>101</v>
      </c>
      <c r="H3" s="37" t="s">
        <v>103</v>
      </c>
      <c r="I3" s="105"/>
      <c r="M3" s="83" t="s">
        <v>108</v>
      </c>
    </row>
    <row r="4" spans="3:14" s="9" customFormat="1" ht="20.25" hidden="1" customHeight="1" thickBot="1">
      <c r="C4" s="50" t="s">
        <v>10</v>
      </c>
      <c r="D4" s="51"/>
      <c r="E4" s="44"/>
      <c r="F4" s="52"/>
      <c r="G4" s="45"/>
      <c r="H4" s="47"/>
      <c r="I4" s="95"/>
      <c r="J4" s="9" t="s">
        <v>105</v>
      </c>
      <c r="K4" s="9" t="s">
        <v>106</v>
      </c>
      <c r="L4" s="9" t="s">
        <v>104</v>
      </c>
      <c r="M4" s="9" t="s">
        <v>109</v>
      </c>
      <c r="N4" s="9" t="s">
        <v>110</v>
      </c>
    </row>
    <row r="5" spans="3:14" s="9" customFormat="1" ht="15" customHeight="1" thickBot="1">
      <c r="C5" s="142" t="s">
        <v>89</v>
      </c>
      <c r="D5" s="143"/>
      <c r="E5" s="66" t="s">
        <v>107</v>
      </c>
      <c r="F5" s="73" t="s">
        <v>102</v>
      </c>
      <c r="G5" s="67" t="s">
        <v>101</v>
      </c>
      <c r="H5" s="92" t="s">
        <v>103</v>
      </c>
      <c r="I5" s="104"/>
      <c r="J5" s="70"/>
      <c r="K5" s="70"/>
      <c r="L5" s="70"/>
      <c r="M5" s="69">
        <f t="shared" ref="M5:M13" si="0">MIN(J5:L5)</f>
        <v>0</v>
      </c>
      <c r="N5" s="74" t="e">
        <f t="shared" ref="N5:N13" si="1">SUM(M5/E5)</f>
        <v>#VALUE!</v>
      </c>
    </row>
    <row r="6" spans="3:14" s="8" customFormat="1">
      <c r="C6" s="57" t="s">
        <v>85</v>
      </c>
      <c r="D6" s="30"/>
      <c r="E6" s="27"/>
      <c r="F6" s="72"/>
      <c r="G6" s="31"/>
      <c r="H6" s="68"/>
      <c r="I6" s="96" t="s">
        <v>104</v>
      </c>
      <c r="J6" s="69"/>
      <c r="K6" s="69"/>
      <c r="L6" s="69"/>
      <c r="M6" s="69">
        <f t="shared" si="0"/>
        <v>0</v>
      </c>
      <c r="N6" s="74" t="e">
        <f t="shared" si="1"/>
        <v>#DIV/0!</v>
      </c>
    </row>
    <row r="7" spans="3:14" s="8" customFormat="1">
      <c r="C7" s="57" t="s">
        <v>86</v>
      </c>
      <c r="D7" s="30"/>
      <c r="E7" s="27"/>
      <c r="F7" s="72"/>
      <c r="G7" s="31"/>
      <c r="H7" s="68"/>
      <c r="I7" s="96" t="s">
        <v>104</v>
      </c>
      <c r="J7" s="69"/>
      <c r="K7" s="69"/>
      <c r="L7" s="69"/>
      <c r="M7" s="69">
        <f t="shared" si="0"/>
        <v>0</v>
      </c>
      <c r="N7" s="74" t="e">
        <f t="shared" si="1"/>
        <v>#DIV/0!</v>
      </c>
    </row>
    <row r="8" spans="3:14" s="8" customFormat="1">
      <c r="C8" s="57" t="s">
        <v>87</v>
      </c>
      <c r="D8" s="30"/>
      <c r="E8" s="27"/>
      <c r="F8" s="72"/>
      <c r="G8" s="31"/>
      <c r="H8" s="68"/>
      <c r="I8" s="96" t="s">
        <v>104</v>
      </c>
      <c r="J8" s="69"/>
      <c r="K8" s="69"/>
      <c r="L8" s="69"/>
      <c r="M8" s="69">
        <f t="shared" si="0"/>
        <v>0</v>
      </c>
      <c r="N8" s="74" t="e">
        <f t="shared" si="1"/>
        <v>#DIV/0!</v>
      </c>
    </row>
    <row r="9" spans="3:14" s="8" customFormat="1">
      <c r="C9" s="65" t="s">
        <v>88</v>
      </c>
      <c r="D9" s="30"/>
      <c r="E9" s="27"/>
      <c r="F9" s="72"/>
      <c r="G9" s="31"/>
      <c r="H9" s="68"/>
      <c r="I9" s="96" t="s">
        <v>104</v>
      </c>
      <c r="J9" s="69"/>
      <c r="K9" s="69"/>
      <c r="L9" s="69"/>
      <c r="M9" s="69">
        <f t="shared" si="0"/>
        <v>0</v>
      </c>
      <c r="N9" s="74" t="e">
        <f t="shared" si="1"/>
        <v>#DIV/0!</v>
      </c>
    </row>
    <row r="10" spans="3:14" s="8" customFormat="1">
      <c r="C10" s="64" t="s">
        <v>129</v>
      </c>
      <c r="D10" s="30"/>
      <c r="E10" s="27"/>
      <c r="F10" s="72"/>
      <c r="G10" s="31"/>
      <c r="H10" s="68"/>
      <c r="I10" s="96" t="s">
        <v>104</v>
      </c>
      <c r="J10" s="69"/>
      <c r="K10" s="69"/>
      <c r="L10" s="69"/>
      <c r="M10" s="69">
        <f t="shared" si="0"/>
        <v>0</v>
      </c>
      <c r="N10" s="74" t="e">
        <f t="shared" si="1"/>
        <v>#DIV/0!</v>
      </c>
    </row>
    <row r="11" spans="3:14" s="8" customFormat="1">
      <c r="C11" s="64" t="s">
        <v>120</v>
      </c>
      <c r="D11" s="30"/>
      <c r="E11" s="27"/>
      <c r="F11" s="72"/>
      <c r="G11" s="31"/>
      <c r="H11" s="68"/>
      <c r="I11" s="96" t="s">
        <v>104</v>
      </c>
      <c r="J11" s="69"/>
      <c r="K11" s="69"/>
      <c r="L11" s="69"/>
      <c r="M11" s="69">
        <f t="shared" si="0"/>
        <v>0</v>
      </c>
      <c r="N11" s="74" t="e">
        <f t="shared" si="1"/>
        <v>#DIV/0!</v>
      </c>
    </row>
    <row r="12" spans="3:14" s="8" customFormat="1">
      <c r="C12" s="64" t="s">
        <v>118</v>
      </c>
      <c r="D12" s="30"/>
      <c r="E12" s="27"/>
      <c r="F12" s="72"/>
      <c r="G12" s="31"/>
      <c r="H12" s="68"/>
      <c r="I12" s="96" t="s">
        <v>104</v>
      </c>
      <c r="J12" s="69"/>
      <c r="K12" s="69"/>
      <c r="L12" s="69"/>
      <c r="M12" s="69">
        <f t="shared" si="0"/>
        <v>0</v>
      </c>
      <c r="N12" s="74" t="e">
        <f t="shared" si="1"/>
        <v>#DIV/0!</v>
      </c>
    </row>
    <row r="13" spans="3:14" s="8" customFormat="1">
      <c r="C13" s="64" t="s">
        <v>119</v>
      </c>
      <c r="D13" s="30"/>
      <c r="E13" s="27"/>
      <c r="F13" s="72"/>
      <c r="G13" s="31"/>
      <c r="H13" s="68"/>
      <c r="I13" s="96" t="s">
        <v>104</v>
      </c>
      <c r="J13" s="69"/>
      <c r="K13" s="69"/>
      <c r="L13" s="69"/>
      <c r="M13" s="69">
        <f t="shared" si="0"/>
        <v>0</v>
      </c>
      <c r="N13" s="74" t="e">
        <f t="shared" si="1"/>
        <v>#DIV/0!</v>
      </c>
    </row>
    <row r="14" spans="3:14" s="8" customFormat="1">
      <c r="C14" s="65" t="s">
        <v>90</v>
      </c>
      <c r="D14" s="30"/>
      <c r="E14" s="27"/>
      <c r="F14" s="72"/>
      <c r="G14" s="31"/>
      <c r="H14" s="68"/>
      <c r="I14" s="75" t="s">
        <v>104</v>
      </c>
      <c r="J14" s="69"/>
      <c r="K14" s="69"/>
      <c r="L14" s="69"/>
      <c r="M14" s="69">
        <f t="shared" ref="M14:M39" si="2">MIN(J14:L14)</f>
        <v>0</v>
      </c>
      <c r="N14" s="74" t="e">
        <f t="shared" ref="N14:N39" si="3">SUM(M14/E14)</f>
        <v>#DIV/0!</v>
      </c>
    </row>
    <row r="15" spans="3:14" s="8" customFormat="1">
      <c r="C15" s="65" t="s">
        <v>141</v>
      </c>
      <c r="D15" s="30"/>
      <c r="E15" s="27"/>
      <c r="F15" s="72"/>
      <c r="G15" s="31"/>
      <c r="H15" s="68"/>
      <c r="I15" s="75" t="s">
        <v>104</v>
      </c>
      <c r="J15" s="69"/>
      <c r="K15" s="69"/>
      <c r="L15" s="69"/>
      <c r="M15" s="69"/>
      <c r="N15" s="74"/>
    </row>
    <row r="16" spans="3:14" s="8" customFormat="1">
      <c r="C16" s="65" t="s">
        <v>91</v>
      </c>
      <c r="D16" s="30"/>
      <c r="E16" s="27"/>
      <c r="F16" s="72"/>
      <c r="G16" s="31"/>
      <c r="H16" s="68"/>
      <c r="I16" s="75" t="s">
        <v>104</v>
      </c>
      <c r="J16" s="69"/>
      <c r="K16" s="69"/>
      <c r="L16" s="69"/>
      <c r="M16" s="69">
        <f t="shared" si="2"/>
        <v>0</v>
      </c>
      <c r="N16" s="74" t="e">
        <f t="shared" si="3"/>
        <v>#DIV/0!</v>
      </c>
    </row>
    <row r="17" spans="3:14" s="8" customFormat="1">
      <c r="C17" s="65" t="s">
        <v>92</v>
      </c>
      <c r="D17" s="30"/>
      <c r="E17" s="27"/>
      <c r="F17" s="72"/>
      <c r="G17" s="31"/>
      <c r="H17" s="68"/>
      <c r="I17" s="75" t="s">
        <v>104</v>
      </c>
      <c r="J17" s="69"/>
      <c r="K17" s="69"/>
      <c r="L17" s="69"/>
      <c r="M17" s="69">
        <f t="shared" si="2"/>
        <v>0</v>
      </c>
      <c r="N17" s="74" t="e">
        <f t="shared" si="3"/>
        <v>#DIV/0!</v>
      </c>
    </row>
    <row r="18" spans="3:14" s="8" customFormat="1">
      <c r="C18" s="65" t="s">
        <v>138</v>
      </c>
      <c r="D18" s="30"/>
      <c r="E18" s="27"/>
      <c r="F18" s="72"/>
      <c r="G18" s="31"/>
      <c r="H18" s="68"/>
      <c r="I18" s="97" t="s">
        <v>139</v>
      </c>
      <c r="J18" s="69"/>
      <c r="K18" s="69"/>
      <c r="L18" s="69"/>
      <c r="M18" s="69">
        <f t="shared" si="2"/>
        <v>0</v>
      </c>
      <c r="N18" s="74" t="e">
        <f t="shared" si="3"/>
        <v>#DIV/0!</v>
      </c>
    </row>
    <row r="19" spans="3:14" s="8" customFormat="1">
      <c r="C19" s="65" t="s">
        <v>142</v>
      </c>
      <c r="D19" s="30"/>
      <c r="E19" s="27"/>
      <c r="F19" s="72"/>
      <c r="G19" s="31"/>
      <c r="H19" s="68"/>
      <c r="I19" s="97" t="s">
        <v>139</v>
      </c>
      <c r="J19" s="69"/>
      <c r="K19" s="69"/>
      <c r="L19" s="69"/>
      <c r="M19" s="69"/>
      <c r="N19" s="74"/>
    </row>
    <row r="20" spans="3:14" s="9" customFormat="1" ht="17.100000000000001" customHeight="1" thickBot="1">
      <c r="C20" s="146" t="s">
        <v>100</v>
      </c>
      <c r="D20" s="147"/>
      <c r="E20" s="139"/>
      <c r="F20" s="140"/>
      <c r="G20" s="141"/>
      <c r="H20" s="79"/>
      <c r="I20" s="138"/>
      <c r="J20" s="70"/>
      <c r="K20" s="70"/>
      <c r="L20" s="70"/>
      <c r="M20" s="69">
        <f t="shared" si="2"/>
        <v>0</v>
      </c>
      <c r="N20" s="74" t="e">
        <f t="shared" si="3"/>
        <v>#DIV/0!</v>
      </c>
    </row>
    <row r="21" spans="3:14" s="9" customFormat="1" ht="17.100000000000001" customHeight="1" thickBot="1">
      <c r="C21" s="148"/>
      <c r="D21" s="149"/>
      <c r="E21" s="66" t="s">
        <v>102</v>
      </c>
      <c r="F21" s="73"/>
      <c r="G21" s="67" t="s">
        <v>101</v>
      </c>
      <c r="H21" s="92" t="s">
        <v>103</v>
      </c>
      <c r="I21" s="138"/>
      <c r="J21" s="70"/>
      <c r="K21" s="70"/>
      <c r="L21" s="70"/>
      <c r="M21" s="69">
        <f t="shared" si="2"/>
        <v>0</v>
      </c>
      <c r="N21" s="74" t="e">
        <f t="shared" si="3"/>
        <v>#VALUE!</v>
      </c>
    </row>
    <row r="22" spans="3:14">
      <c r="C22" s="136" t="s">
        <v>117</v>
      </c>
      <c r="D22" s="137"/>
      <c r="E22" s="27"/>
      <c r="F22" s="72"/>
      <c r="G22" s="31"/>
      <c r="H22" s="68"/>
      <c r="I22" s="86" t="s">
        <v>104</v>
      </c>
      <c r="J22" s="71"/>
      <c r="K22" s="71"/>
      <c r="L22" s="71"/>
      <c r="M22" s="69"/>
      <c r="N22" s="74"/>
    </row>
    <row r="23" spans="3:14" ht="12.75" customHeight="1">
      <c r="C23" s="136" t="s">
        <v>84</v>
      </c>
      <c r="D23" s="137"/>
      <c r="E23" s="27"/>
      <c r="F23" s="72"/>
      <c r="G23" s="31"/>
      <c r="H23" s="68"/>
      <c r="I23" s="86" t="s">
        <v>104</v>
      </c>
      <c r="J23" s="71"/>
      <c r="K23" s="71"/>
      <c r="L23" s="71"/>
      <c r="M23" s="69"/>
      <c r="N23" s="74"/>
    </row>
    <row r="24" spans="3:14">
      <c r="C24" s="136" t="s">
        <v>136</v>
      </c>
      <c r="D24" s="137"/>
      <c r="E24" s="27"/>
      <c r="F24" s="72"/>
      <c r="G24" s="31"/>
      <c r="H24" s="68"/>
      <c r="I24" s="86" t="s">
        <v>104</v>
      </c>
      <c r="J24" s="71"/>
      <c r="K24" s="71"/>
      <c r="L24" s="71"/>
      <c r="M24" s="69">
        <f t="shared" si="2"/>
        <v>0</v>
      </c>
      <c r="N24" s="74" t="e">
        <f t="shared" si="3"/>
        <v>#DIV/0!</v>
      </c>
    </row>
    <row r="25" spans="3:14">
      <c r="C25" s="136" t="s">
        <v>135</v>
      </c>
      <c r="D25" s="137"/>
      <c r="E25" s="27"/>
      <c r="F25" s="72"/>
      <c r="G25" s="31"/>
      <c r="H25" s="68"/>
      <c r="I25" s="86" t="s">
        <v>104</v>
      </c>
      <c r="J25" s="71"/>
      <c r="K25" s="71"/>
      <c r="L25" s="71"/>
      <c r="M25" s="69"/>
      <c r="N25" s="74"/>
    </row>
    <row r="26" spans="3:14" ht="13.5" thickBot="1">
      <c r="C26" s="102" t="s">
        <v>149</v>
      </c>
      <c r="D26" s="103"/>
      <c r="E26" s="27"/>
      <c r="F26" s="72"/>
      <c r="G26" s="31"/>
      <c r="H26" s="68"/>
      <c r="I26" s="86" t="s">
        <v>104</v>
      </c>
      <c r="J26" s="71"/>
      <c r="K26" s="71"/>
      <c r="L26" s="71"/>
      <c r="M26" s="69"/>
      <c r="N26" s="74"/>
    </row>
    <row r="27" spans="3:14">
      <c r="C27" s="134" t="s">
        <v>93</v>
      </c>
      <c r="D27" s="135"/>
      <c r="E27" s="27"/>
      <c r="F27" s="72"/>
      <c r="G27" s="31"/>
      <c r="H27" s="68"/>
      <c r="I27" s="86" t="s">
        <v>104</v>
      </c>
      <c r="J27" s="71"/>
      <c r="K27" s="71"/>
      <c r="L27" s="71"/>
      <c r="M27" s="69">
        <f>MIN(J27:L27)</f>
        <v>0</v>
      </c>
      <c r="N27" s="74" t="e">
        <f>SUM(M27/E27)</f>
        <v>#DIV/0!</v>
      </c>
    </row>
    <row r="28" spans="3:14">
      <c r="C28" s="136" t="s">
        <v>134</v>
      </c>
      <c r="D28" s="137"/>
      <c r="E28" s="27"/>
      <c r="F28" s="72"/>
      <c r="G28" s="31"/>
      <c r="H28" s="68"/>
      <c r="I28" s="86" t="s">
        <v>104</v>
      </c>
      <c r="J28" s="71"/>
      <c r="K28" s="71"/>
      <c r="L28" s="71"/>
      <c r="M28" s="69"/>
      <c r="N28" s="74"/>
    </row>
    <row r="29" spans="3:14">
      <c r="C29" s="132" t="s">
        <v>94</v>
      </c>
      <c r="D29" s="133"/>
      <c r="E29" s="27"/>
      <c r="F29" s="72"/>
      <c r="G29" s="31"/>
      <c r="H29" s="68"/>
      <c r="I29" s="86" t="s">
        <v>104</v>
      </c>
      <c r="J29" s="71"/>
      <c r="K29" s="71"/>
      <c r="L29" s="71"/>
      <c r="M29" s="69">
        <f t="shared" si="2"/>
        <v>0</v>
      </c>
      <c r="N29" s="74" t="e">
        <f t="shared" si="3"/>
        <v>#DIV/0!</v>
      </c>
    </row>
    <row r="30" spans="3:14">
      <c r="C30" s="132" t="s">
        <v>95</v>
      </c>
      <c r="D30" s="133"/>
      <c r="E30" s="27"/>
      <c r="F30" s="72"/>
      <c r="G30" s="31"/>
      <c r="H30" s="68"/>
      <c r="I30" s="86" t="s">
        <v>104</v>
      </c>
      <c r="J30" s="71"/>
      <c r="K30" s="71"/>
      <c r="L30" s="71"/>
      <c r="M30" s="69">
        <f t="shared" si="2"/>
        <v>0</v>
      </c>
      <c r="N30" s="74" t="e">
        <f t="shared" si="3"/>
        <v>#DIV/0!</v>
      </c>
    </row>
    <row r="31" spans="3:14">
      <c r="C31" s="132" t="s">
        <v>96</v>
      </c>
      <c r="D31" s="133"/>
      <c r="E31" s="27"/>
      <c r="F31" s="72"/>
      <c r="G31" s="31"/>
      <c r="H31" s="68"/>
      <c r="I31" s="86" t="s">
        <v>104</v>
      </c>
      <c r="J31" s="71"/>
      <c r="K31" s="71"/>
      <c r="L31" s="71"/>
      <c r="M31" s="69">
        <f t="shared" si="2"/>
        <v>0</v>
      </c>
      <c r="N31" s="74" t="e">
        <f t="shared" si="3"/>
        <v>#DIV/0!</v>
      </c>
    </row>
    <row r="32" spans="3:14">
      <c r="C32" s="132" t="s">
        <v>97</v>
      </c>
      <c r="D32" s="133"/>
      <c r="E32" s="27"/>
      <c r="F32" s="72"/>
      <c r="G32" s="31"/>
      <c r="H32" s="68"/>
      <c r="I32" s="86" t="s">
        <v>104</v>
      </c>
      <c r="J32" s="71"/>
      <c r="K32" s="71"/>
      <c r="L32" s="71"/>
      <c r="M32" s="69">
        <f t="shared" si="2"/>
        <v>0</v>
      </c>
      <c r="N32" s="74" t="e">
        <f t="shared" si="3"/>
        <v>#DIV/0!</v>
      </c>
    </row>
    <row r="33" spans="3:14">
      <c r="C33" s="130" t="s">
        <v>98</v>
      </c>
      <c r="D33" s="131"/>
      <c r="E33" s="27"/>
      <c r="F33" s="72"/>
      <c r="G33" s="31"/>
      <c r="H33" s="68"/>
      <c r="I33" s="86" t="s">
        <v>104</v>
      </c>
      <c r="J33" s="71"/>
      <c r="K33" s="71"/>
      <c r="L33" s="71"/>
      <c r="M33" s="69">
        <f t="shared" si="2"/>
        <v>0</v>
      </c>
      <c r="N33" s="74" t="e">
        <f t="shared" si="3"/>
        <v>#DIV/0!</v>
      </c>
    </row>
    <row r="34" spans="3:14">
      <c r="C34" s="130" t="s">
        <v>99</v>
      </c>
      <c r="D34" s="131"/>
      <c r="E34" s="27"/>
      <c r="F34" s="72"/>
      <c r="G34" s="31"/>
      <c r="H34" s="68"/>
      <c r="I34" s="86" t="s">
        <v>104</v>
      </c>
      <c r="J34" s="71"/>
      <c r="K34" s="71"/>
      <c r="L34" s="71"/>
      <c r="M34" s="69">
        <f t="shared" si="2"/>
        <v>0</v>
      </c>
      <c r="N34" s="74" t="e">
        <f t="shared" si="3"/>
        <v>#DIV/0!</v>
      </c>
    </row>
    <row r="35" spans="3:14">
      <c r="C35" s="126" t="s">
        <v>111</v>
      </c>
      <c r="D35" s="127"/>
      <c r="E35" s="80"/>
      <c r="F35" s="80"/>
      <c r="G35" s="81"/>
      <c r="H35" s="94"/>
      <c r="I35" s="86" t="s">
        <v>104</v>
      </c>
      <c r="J35" s="71"/>
      <c r="K35" s="71"/>
      <c r="L35" s="71"/>
      <c r="M35" s="69">
        <f t="shared" si="2"/>
        <v>0</v>
      </c>
      <c r="N35" s="74" t="e">
        <f t="shared" si="3"/>
        <v>#DIV/0!</v>
      </c>
    </row>
    <row r="36" spans="3:14">
      <c r="C36" s="126" t="s">
        <v>147</v>
      </c>
      <c r="D36" s="127"/>
      <c r="E36" s="80"/>
      <c r="F36" s="80"/>
      <c r="G36" s="81"/>
      <c r="H36" s="91"/>
      <c r="I36" s="86" t="s">
        <v>104</v>
      </c>
      <c r="J36" s="71"/>
      <c r="K36" s="71"/>
      <c r="L36" s="71"/>
      <c r="M36" s="69"/>
      <c r="N36" s="74"/>
    </row>
    <row r="37" spans="3:14">
      <c r="C37" s="126" t="s">
        <v>148</v>
      </c>
      <c r="D37" s="127"/>
      <c r="E37" s="80"/>
      <c r="F37" s="80"/>
      <c r="G37" s="81"/>
      <c r="H37" s="91"/>
      <c r="I37" s="86" t="s">
        <v>104</v>
      </c>
      <c r="J37" s="71"/>
      <c r="K37" s="71"/>
      <c r="L37" s="71"/>
      <c r="M37" s="69"/>
      <c r="N37" s="74"/>
    </row>
    <row r="38" spans="3:14">
      <c r="C38" s="126" t="s">
        <v>112</v>
      </c>
      <c r="D38" s="127"/>
      <c r="E38" s="80"/>
      <c r="F38" s="80"/>
      <c r="G38" s="81"/>
      <c r="H38" s="91"/>
      <c r="I38" s="86" t="s">
        <v>104</v>
      </c>
      <c r="J38" s="71"/>
      <c r="K38" s="71"/>
      <c r="L38" s="71"/>
      <c r="M38" s="69">
        <f t="shared" si="2"/>
        <v>0</v>
      </c>
      <c r="N38" s="74" t="e">
        <f t="shared" si="3"/>
        <v>#DIV/0!</v>
      </c>
    </row>
    <row r="39" spans="3:14">
      <c r="C39" s="126" t="s">
        <v>113</v>
      </c>
      <c r="D39" s="127"/>
      <c r="E39" s="80"/>
      <c r="F39" s="80"/>
      <c r="G39" s="81"/>
      <c r="H39" s="93"/>
      <c r="I39" s="86" t="s">
        <v>104</v>
      </c>
      <c r="J39" s="71"/>
      <c r="K39" s="71"/>
      <c r="L39" s="71"/>
      <c r="M39" s="69">
        <f t="shared" si="2"/>
        <v>0</v>
      </c>
      <c r="N39" s="74" t="e">
        <f t="shared" si="3"/>
        <v>#DIV/0!</v>
      </c>
    </row>
    <row r="40" spans="3:14">
      <c r="C40" s="126" t="s">
        <v>137</v>
      </c>
      <c r="D40" s="127"/>
      <c r="E40" s="80"/>
      <c r="F40" s="80"/>
      <c r="G40" s="81"/>
      <c r="H40" s="93"/>
      <c r="I40" s="86" t="s">
        <v>104</v>
      </c>
      <c r="J40" s="71"/>
      <c r="K40" s="71"/>
      <c r="L40" s="71"/>
      <c r="M40" s="69"/>
      <c r="N40" s="74"/>
    </row>
    <row r="41" spans="3:14">
      <c r="C41" s="126" t="s">
        <v>130</v>
      </c>
      <c r="D41" s="127"/>
      <c r="E41" s="88"/>
      <c r="F41" s="88"/>
      <c r="G41" s="89"/>
      <c r="H41" s="90"/>
      <c r="I41" s="87" t="s">
        <v>104</v>
      </c>
    </row>
    <row r="42" spans="3:14">
      <c r="C42" s="126" t="s">
        <v>144</v>
      </c>
      <c r="D42" s="127"/>
      <c r="E42" s="88"/>
      <c r="F42" s="88"/>
      <c r="G42" s="89"/>
      <c r="H42" s="90"/>
      <c r="I42" s="87" t="s">
        <v>104</v>
      </c>
    </row>
    <row r="43" spans="3:14">
      <c r="C43" s="126" t="s">
        <v>124</v>
      </c>
      <c r="D43" s="127"/>
      <c r="E43" s="88"/>
      <c r="F43" s="88"/>
      <c r="G43" s="89"/>
      <c r="H43" s="90"/>
      <c r="I43" s="87" t="s">
        <v>104</v>
      </c>
    </row>
    <row r="44" spans="3:14">
      <c r="C44" s="126" t="s">
        <v>125</v>
      </c>
      <c r="D44" s="127"/>
      <c r="E44" s="88"/>
      <c r="F44" s="88"/>
      <c r="G44" s="89"/>
      <c r="H44" s="90"/>
      <c r="I44" s="87" t="s">
        <v>104</v>
      </c>
    </row>
    <row r="45" spans="3:14">
      <c r="C45" s="126" t="s">
        <v>126</v>
      </c>
      <c r="D45" s="127"/>
      <c r="E45" s="88"/>
      <c r="F45" s="88"/>
      <c r="G45" s="89"/>
      <c r="H45" s="90"/>
      <c r="I45" s="87" t="s">
        <v>104</v>
      </c>
    </row>
    <row r="46" spans="3:14">
      <c r="C46" s="126" t="s">
        <v>127</v>
      </c>
      <c r="D46" s="127"/>
      <c r="E46" s="88"/>
      <c r="F46" s="88"/>
      <c r="G46" s="89"/>
      <c r="H46" s="90"/>
      <c r="I46" s="87" t="s">
        <v>104</v>
      </c>
    </row>
    <row r="47" spans="3:14">
      <c r="C47" s="126" t="s">
        <v>128</v>
      </c>
      <c r="D47" s="127"/>
      <c r="E47" s="88"/>
      <c r="F47" s="88"/>
      <c r="G47" s="89"/>
      <c r="H47" s="90"/>
      <c r="I47" s="87" t="s">
        <v>104</v>
      </c>
    </row>
    <row r="48" spans="3:14">
      <c r="C48" s="126" t="s">
        <v>52</v>
      </c>
      <c r="D48" s="127"/>
      <c r="E48" s="88"/>
      <c r="F48" s="88"/>
      <c r="G48" s="89"/>
      <c r="H48" s="90"/>
      <c r="I48" s="87" t="s">
        <v>104</v>
      </c>
    </row>
    <row r="49" spans="3:9">
      <c r="C49" s="126" t="s">
        <v>114</v>
      </c>
      <c r="D49" s="127"/>
      <c r="E49" s="88"/>
      <c r="F49" s="88"/>
      <c r="G49" s="89"/>
      <c r="H49" s="90"/>
      <c r="I49" s="87" t="s">
        <v>104</v>
      </c>
    </row>
    <row r="50" spans="3:9">
      <c r="C50" s="128" t="s">
        <v>121</v>
      </c>
      <c r="D50" s="129"/>
      <c r="E50" s="76"/>
      <c r="F50" s="76"/>
      <c r="G50" s="77"/>
      <c r="H50" s="78"/>
      <c r="I50" s="75" t="s">
        <v>104</v>
      </c>
    </row>
    <row r="51" spans="3:9">
      <c r="C51" s="128" t="s">
        <v>122</v>
      </c>
      <c r="D51" s="129"/>
      <c r="E51" s="76"/>
      <c r="F51" s="76"/>
      <c r="G51" s="77"/>
      <c r="H51" s="78"/>
      <c r="I51" s="75" t="s">
        <v>104</v>
      </c>
    </row>
    <row r="52" spans="3:9">
      <c r="C52" s="128" t="s">
        <v>123</v>
      </c>
      <c r="D52" s="129"/>
      <c r="E52" s="76"/>
      <c r="F52" s="76"/>
      <c r="G52" s="77"/>
      <c r="H52" s="78"/>
      <c r="I52" s="75" t="s">
        <v>104</v>
      </c>
    </row>
    <row r="53" spans="3:9">
      <c r="C53" s="126" t="s">
        <v>131</v>
      </c>
      <c r="D53" s="127"/>
      <c r="E53" s="88"/>
      <c r="F53" s="88"/>
      <c r="G53" s="89"/>
      <c r="H53" s="90"/>
      <c r="I53" s="87" t="s">
        <v>104</v>
      </c>
    </row>
    <row r="54" spans="3:9">
      <c r="C54" s="126" t="s">
        <v>115</v>
      </c>
      <c r="D54" s="127"/>
      <c r="E54" s="88"/>
      <c r="F54" s="88"/>
      <c r="G54" s="89"/>
      <c r="H54" s="90"/>
      <c r="I54" s="87" t="s">
        <v>104</v>
      </c>
    </row>
    <row r="55" spans="3:9">
      <c r="C55" s="126" t="s">
        <v>132</v>
      </c>
      <c r="D55" s="127"/>
      <c r="E55" s="88"/>
      <c r="F55" s="88"/>
      <c r="G55" s="89"/>
      <c r="H55" s="90"/>
      <c r="I55" s="87" t="s">
        <v>104</v>
      </c>
    </row>
    <row r="56" spans="3:9">
      <c r="C56" s="126" t="s">
        <v>133</v>
      </c>
      <c r="D56" s="127"/>
      <c r="E56" s="88"/>
      <c r="F56" s="88"/>
      <c r="G56" s="89"/>
      <c r="H56" s="90"/>
      <c r="I56" s="87" t="s">
        <v>104</v>
      </c>
    </row>
    <row r="57" spans="3:9">
      <c r="C57" s="126" t="s">
        <v>145</v>
      </c>
      <c r="D57" s="127"/>
      <c r="E57" s="88"/>
      <c r="F57" s="88"/>
      <c r="G57" s="89"/>
      <c r="H57" s="90"/>
      <c r="I57" s="87" t="s">
        <v>104</v>
      </c>
    </row>
    <row r="58" spans="3:9">
      <c r="C58" s="106" t="s">
        <v>151</v>
      </c>
      <c r="D58" s="107"/>
      <c r="E58" s="88"/>
      <c r="F58" s="88"/>
      <c r="G58" s="89"/>
      <c r="H58" s="90"/>
      <c r="I58" s="87" t="s">
        <v>104</v>
      </c>
    </row>
    <row r="59" spans="3:9">
      <c r="C59" s="126" t="s">
        <v>116</v>
      </c>
      <c r="D59" s="127"/>
      <c r="E59" s="88"/>
      <c r="F59" s="88"/>
      <c r="G59" s="89"/>
      <c r="H59" s="90"/>
      <c r="I59" s="87" t="s">
        <v>146</v>
      </c>
    </row>
    <row r="60" spans="3:9">
      <c r="C60" s="126" t="s">
        <v>143</v>
      </c>
      <c r="D60" s="127"/>
      <c r="E60" s="88"/>
      <c r="F60" s="88"/>
      <c r="G60" s="89"/>
      <c r="H60" s="90"/>
      <c r="I60" s="87" t="s">
        <v>104</v>
      </c>
    </row>
    <row r="61" spans="3:9">
      <c r="C61" s="98"/>
      <c r="D61" s="98"/>
      <c r="E61" s="99"/>
      <c r="F61" s="99"/>
      <c r="G61" s="100"/>
      <c r="H61" s="101"/>
      <c r="I61" s="85"/>
    </row>
    <row r="62" spans="3:9">
      <c r="C62" s="82"/>
      <c r="D62" s="82"/>
      <c r="E62" s="83"/>
      <c r="F62" s="83"/>
      <c r="G62" s="84"/>
      <c r="H62" s="84"/>
      <c r="I62" s="85"/>
    </row>
  </sheetData>
  <sortState ref="C71:C73">
    <sortCondition sortBy="cellColor" ref="C71" dxfId="0"/>
  </sortState>
  <mergeCells count="42">
    <mergeCell ref="I20:I21"/>
    <mergeCell ref="E20:G20"/>
    <mergeCell ref="C5:D5"/>
    <mergeCell ref="C3:D3"/>
    <mergeCell ref="C20:D21"/>
    <mergeCell ref="C27:D27"/>
    <mergeCell ref="C23:D23"/>
    <mergeCell ref="C22:D22"/>
    <mergeCell ref="C28:D28"/>
    <mergeCell ref="C24:D24"/>
    <mergeCell ref="C25:D25"/>
    <mergeCell ref="C29:D29"/>
    <mergeCell ref="C30:D30"/>
    <mergeCell ref="C31:D31"/>
    <mergeCell ref="C32:D32"/>
    <mergeCell ref="C33:D33"/>
    <mergeCell ref="C34:D34"/>
    <mergeCell ref="C35:D35"/>
    <mergeCell ref="C36:D36"/>
    <mergeCell ref="C37:D37"/>
    <mergeCell ref="C42:D42"/>
    <mergeCell ref="C46:D46"/>
    <mergeCell ref="C47:D47"/>
    <mergeCell ref="C53:D53"/>
    <mergeCell ref="C55:D55"/>
    <mergeCell ref="C56:D56"/>
    <mergeCell ref="C60:D60"/>
    <mergeCell ref="C38:D38"/>
    <mergeCell ref="C39:D39"/>
    <mergeCell ref="C51:D51"/>
    <mergeCell ref="C52:D52"/>
    <mergeCell ref="C43:D43"/>
    <mergeCell ref="C54:D54"/>
    <mergeCell ref="C59:D59"/>
    <mergeCell ref="C50:D50"/>
    <mergeCell ref="C40:D40"/>
    <mergeCell ref="C41:D41"/>
    <mergeCell ref="C48:D48"/>
    <mergeCell ref="C49:D49"/>
    <mergeCell ref="C44:D44"/>
    <mergeCell ref="C45:D45"/>
    <mergeCell ref="C57:D57"/>
  </mergeCells>
  <phoneticPr fontId="0" type="noConversion"/>
  <printOptions horizontalCentered="1"/>
  <pageMargins left="0" right="0" top="0" bottom="0" header="0" footer="0"/>
  <pageSetup fitToWidth="6" fitToHeight="6" orientation="portrait" r:id="rId1"/>
  <headerFooter alignWithMargins="0">
    <oddHeader>&amp;R&amp;D</oddHeader>
    <oddFooter>&amp;R&amp;P</oddFooter>
  </headerFooter>
  <customProperties>
    <customPr name="SSCSheetTrackingNo" r:id="rId2"/>
  </customProperties>
</worksheet>
</file>

<file path=xl/worksheets/sheet3.xml><?xml version="1.0" encoding="utf-8"?>
<worksheet xmlns="http://schemas.openxmlformats.org/spreadsheetml/2006/main" xmlns:r="http://schemas.openxmlformats.org/officeDocument/2006/relationships">
  <dimension ref="A1:AA490"/>
  <sheetViews>
    <sheetView showGridLines="0" workbookViewId="0">
      <selection activeCell="H96" sqref="H96"/>
    </sheetView>
  </sheetViews>
  <sheetFormatPr defaultColWidth="9.140625" defaultRowHeight="12.75"/>
  <cols>
    <col min="1" max="1" width="1.85546875" style="6" customWidth="1"/>
    <col min="2" max="2" width="5" style="6" customWidth="1"/>
    <col min="3" max="3" width="15.85546875" style="6" customWidth="1"/>
    <col min="4" max="4" width="15.140625" style="6" customWidth="1"/>
    <col min="5" max="5" width="10.42578125" style="3" customWidth="1"/>
    <col min="6" max="6" width="10.42578125" style="12" customWidth="1"/>
    <col min="7" max="7" width="8.28515625" style="17" customWidth="1"/>
    <col min="8" max="8" width="10.42578125" style="4" customWidth="1"/>
    <col min="9" max="9" width="10.42578125" style="20" customWidth="1"/>
    <col min="10" max="10" width="10.7109375" style="2" customWidth="1"/>
    <col min="11" max="11" width="13.140625" style="12" customWidth="1"/>
    <col min="12" max="12" width="14.85546875" style="12" customWidth="1"/>
    <col min="13" max="26" width="9.140625" style="6"/>
    <col min="27" max="16384" width="9.140625" style="1"/>
  </cols>
  <sheetData>
    <row r="1" spans="2:27" s="6" customFormat="1" ht="23.25">
      <c r="B1" s="41" t="str">
        <f>Original!C1</f>
        <v xml:space="preserve">THE NEST </v>
      </c>
      <c r="E1" s="9"/>
      <c r="F1" s="11"/>
      <c r="G1" s="15"/>
      <c r="H1" s="7"/>
      <c r="I1" s="18"/>
      <c r="J1" s="10"/>
      <c r="K1" s="11"/>
      <c r="L1" s="11"/>
      <c r="AA1" s="1"/>
    </row>
    <row r="2" spans="2:27" s="6" customFormat="1" ht="13.5" thickBot="1">
      <c r="B2" s="6" t="s">
        <v>46</v>
      </c>
      <c r="E2" s="9"/>
      <c r="F2" s="11"/>
      <c r="G2" s="15"/>
      <c r="H2" s="7" t="s">
        <v>0</v>
      </c>
      <c r="I2" s="18"/>
      <c r="J2" s="10"/>
      <c r="K2" s="11"/>
      <c r="L2" s="11"/>
      <c r="AA2" s="1"/>
    </row>
    <row r="3" spans="2:27" s="6" customFormat="1" ht="13.5" thickBot="1">
      <c r="D3" s="43"/>
      <c r="F3" s="11"/>
      <c r="G3" s="15"/>
      <c r="H3" s="7"/>
      <c r="I3" s="18"/>
      <c r="J3" s="10"/>
      <c r="K3" s="11"/>
      <c r="L3" s="11"/>
      <c r="AA3" s="1"/>
    </row>
    <row r="4" spans="2:27" s="13" customFormat="1" ht="13.5" thickBot="1">
      <c r="B4" s="40"/>
      <c r="G4" s="16"/>
      <c r="I4" s="19"/>
    </row>
    <row r="5" spans="2:27" s="6" customFormat="1" ht="12.75" customHeight="1">
      <c r="B5" s="181" t="s">
        <v>13</v>
      </c>
      <c r="C5" s="182"/>
      <c r="D5" s="183"/>
      <c r="E5" s="176" t="s">
        <v>11</v>
      </c>
      <c r="F5" s="177"/>
      <c r="G5" s="160" t="s">
        <v>12</v>
      </c>
      <c r="H5" s="162" t="s">
        <v>5</v>
      </c>
      <c r="I5" s="163"/>
      <c r="J5" s="155" t="s">
        <v>9</v>
      </c>
      <c r="K5" s="158" t="s">
        <v>2</v>
      </c>
      <c r="L5" s="155" t="s">
        <v>3</v>
      </c>
    </row>
    <row r="6" spans="2:27" s="6" customFormat="1" ht="15" customHeight="1" thickBot="1">
      <c r="B6" s="144"/>
      <c r="C6" s="184"/>
      <c r="D6" s="185"/>
      <c r="E6" s="36" t="s">
        <v>1</v>
      </c>
      <c r="F6" s="39" t="s">
        <v>6</v>
      </c>
      <c r="G6" s="161"/>
      <c r="H6" s="37" t="s">
        <v>1</v>
      </c>
      <c r="I6" s="38" t="s">
        <v>6</v>
      </c>
      <c r="J6" s="179"/>
      <c r="K6" s="180"/>
      <c r="L6" s="179"/>
    </row>
    <row r="7" spans="2:27" s="6" customFormat="1" ht="23.25" customHeight="1" thickBot="1">
      <c r="B7" s="50" t="s">
        <v>7</v>
      </c>
      <c r="C7" s="50"/>
      <c r="D7" s="51"/>
      <c r="E7" s="52"/>
      <c r="F7" s="45"/>
      <c r="G7" s="46"/>
      <c r="H7" s="47"/>
      <c r="I7" s="45"/>
      <c r="J7" s="46"/>
      <c r="K7" s="45"/>
      <c r="L7" s="48"/>
    </row>
    <row r="8" spans="2:27">
      <c r="B8" s="134" t="s">
        <v>30</v>
      </c>
      <c r="C8" s="154"/>
      <c r="D8" s="135"/>
      <c r="E8" s="58" t="s">
        <v>44</v>
      </c>
      <c r="F8" s="24">
        <v>22.69</v>
      </c>
      <c r="G8" s="25">
        <v>1</v>
      </c>
      <c r="H8" s="23" t="s">
        <v>4</v>
      </c>
      <c r="I8" s="26">
        <f>F8/G8</f>
        <v>22.69</v>
      </c>
      <c r="J8" s="22">
        <v>2.5</v>
      </c>
      <c r="K8" s="53">
        <f>J8*I8</f>
        <v>56.725000000000001</v>
      </c>
      <c r="L8" s="14"/>
    </row>
    <row r="9" spans="2:27">
      <c r="B9" s="132" t="s">
        <v>31</v>
      </c>
      <c r="C9" s="150"/>
      <c r="D9" s="133"/>
      <c r="E9" s="58" t="s">
        <v>44</v>
      </c>
      <c r="F9" s="24">
        <v>0</v>
      </c>
      <c r="G9" s="25">
        <v>1</v>
      </c>
      <c r="H9" s="29"/>
      <c r="I9" s="26">
        <f t="shared" ref="I9:I26" si="0">F9/G9</f>
        <v>0</v>
      </c>
      <c r="J9" s="22"/>
      <c r="K9" s="53">
        <f t="shared" ref="K9:K26" si="1">J9*I9</f>
        <v>0</v>
      </c>
      <c r="L9" s="14"/>
    </row>
    <row r="10" spans="2:27">
      <c r="B10" s="132" t="s">
        <v>32</v>
      </c>
      <c r="C10" s="150"/>
      <c r="D10" s="133"/>
      <c r="E10" s="58" t="s">
        <v>44</v>
      </c>
      <c r="F10" s="24">
        <v>0</v>
      </c>
      <c r="G10" s="25">
        <v>1</v>
      </c>
      <c r="H10" s="29"/>
      <c r="I10" s="26">
        <f t="shared" si="0"/>
        <v>0</v>
      </c>
      <c r="J10" s="22"/>
      <c r="K10" s="53">
        <f t="shared" si="1"/>
        <v>0</v>
      </c>
      <c r="L10" s="14"/>
      <c r="M10" s="5"/>
    </row>
    <row r="11" spans="2:27">
      <c r="B11" s="132" t="s">
        <v>33</v>
      </c>
      <c r="C11" s="150"/>
      <c r="D11" s="133"/>
      <c r="E11" s="58" t="s">
        <v>44</v>
      </c>
      <c r="F11" s="24">
        <v>0</v>
      </c>
      <c r="G11" s="25">
        <v>1</v>
      </c>
      <c r="H11" s="29"/>
      <c r="I11" s="26">
        <f t="shared" si="0"/>
        <v>0</v>
      </c>
      <c r="J11" s="22"/>
      <c r="K11" s="53">
        <f t="shared" si="1"/>
        <v>0</v>
      </c>
      <c r="L11" s="14"/>
      <c r="M11" s="5"/>
    </row>
    <row r="12" spans="2:27">
      <c r="B12" s="132" t="s">
        <v>34</v>
      </c>
      <c r="C12" s="150"/>
      <c r="D12" s="133"/>
      <c r="E12" s="58" t="s">
        <v>44</v>
      </c>
      <c r="F12" s="24">
        <v>0</v>
      </c>
      <c r="G12" s="25">
        <v>1</v>
      </c>
      <c r="H12" s="29"/>
      <c r="I12" s="26">
        <f t="shared" si="0"/>
        <v>0</v>
      </c>
      <c r="J12" s="22"/>
      <c r="K12" s="53">
        <f t="shared" si="1"/>
        <v>0</v>
      </c>
      <c r="L12" s="14"/>
      <c r="M12" s="5"/>
    </row>
    <row r="13" spans="2:27">
      <c r="B13" s="132" t="s">
        <v>35</v>
      </c>
      <c r="C13" s="150"/>
      <c r="D13" s="133"/>
      <c r="E13" s="58" t="s">
        <v>44</v>
      </c>
      <c r="F13" s="24">
        <v>0</v>
      </c>
      <c r="G13" s="25">
        <v>1</v>
      </c>
      <c r="H13" s="29"/>
      <c r="I13" s="26">
        <f t="shared" si="0"/>
        <v>0</v>
      </c>
      <c r="J13" s="22"/>
      <c r="K13" s="53">
        <f t="shared" si="1"/>
        <v>0</v>
      </c>
      <c r="L13" s="14"/>
      <c r="M13" s="5"/>
    </row>
    <row r="14" spans="2:27">
      <c r="B14" s="132" t="s">
        <v>36</v>
      </c>
      <c r="C14" s="150"/>
      <c r="D14" s="133"/>
      <c r="E14" s="58" t="s">
        <v>44</v>
      </c>
      <c r="F14" s="24">
        <v>0</v>
      </c>
      <c r="G14" s="25">
        <v>1</v>
      </c>
      <c r="H14" s="29"/>
      <c r="I14" s="26">
        <f t="shared" si="0"/>
        <v>0</v>
      </c>
      <c r="J14" s="22"/>
      <c r="K14" s="53">
        <f t="shared" si="1"/>
        <v>0</v>
      </c>
      <c r="L14" s="14"/>
      <c r="M14" s="5"/>
    </row>
    <row r="15" spans="2:27" s="6" customFormat="1">
      <c r="B15" s="132" t="s">
        <v>37</v>
      </c>
      <c r="C15" s="150"/>
      <c r="D15" s="133"/>
      <c r="E15" s="58" t="s">
        <v>44</v>
      </c>
      <c r="F15" s="24">
        <v>0</v>
      </c>
      <c r="G15" s="25">
        <v>1</v>
      </c>
      <c r="H15" s="21"/>
      <c r="I15" s="26">
        <f t="shared" si="0"/>
        <v>0</v>
      </c>
      <c r="J15" s="22"/>
      <c r="K15" s="53">
        <f t="shared" si="1"/>
        <v>0</v>
      </c>
      <c r="L15" s="14"/>
    </row>
    <row r="16" spans="2:27">
      <c r="B16" s="132" t="s">
        <v>38</v>
      </c>
      <c r="C16" s="150"/>
      <c r="D16" s="133"/>
      <c r="E16" s="58" t="s">
        <v>44</v>
      </c>
      <c r="F16" s="24">
        <v>0</v>
      </c>
      <c r="G16" s="25">
        <v>1</v>
      </c>
      <c r="H16" s="29"/>
      <c r="I16" s="26">
        <f t="shared" si="0"/>
        <v>0</v>
      </c>
      <c r="J16" s="22"/>
      <c r="K16" s="53">
        <f t="shared" si="1"/>
        <v>0</v>
      </c>
      <c r="L16" s="14"/>
    </row>
    <row r="17" spans="2:12">
      <c r="B17" s="132" t="s">
        <v>39</v>
      </c>
      <c r="C17" s="150"/>
      <c r="D17" s="133"/>
      <c r="E17" s="58" t="s">
        <v>44</v>
      </c>
      <c r="F17" s="24">
        <v>0</v>
      </c>
      <c r="G17" s="25">
        <v>1</v>
      </c>
      <c r="H17" s="29"/>
      <c r="I17" s="26">
        <f t="shared" si="0"/>
        <v>0</v>
      </c>
      <c r="J17" s="22"/>
      <c r="K17" s="53">
        <f t="shared" si="1"/>
        <v>0</v>
      </c>
      <c r="L17" s="14"/>
    </row>
    <row r="18" spans="2:12">
      <c r="B18" s="132" t="s">
        <v>40</v>
      </c>
      <c r="C18" s="150"/>
      <c r="D18" s="133"/>
      <c r="E18" s="58" t="s">
        <v>44</v>
      </c>
      <c r="F18" s="24">
        <v>0</v>
      </c>
      <c r="G18" s="25">
        <v>1</v>
      </c>
      <c r="H18" s="29"/>
      <c r="I18" s="26">
        <f t="shared" si="0"/>
        <v>0</v>
      </c>
      <c r="J18" s="22"/>
      <c r="K18" s="53">
        <f t="shared" si="1"/>
        <v>0</v>
      </c>
      <c r="L18" s="14"/>
    </row>
    <row r="19" spans="2:12">
      <c r="B19" s="132" t="s">
        <v>41</v>
      </c>
      <c r="C19" s="150"/>
      <c r="D19" s="133"/>
      <c r="E19" s="58" t="s">
        <v>44</v>
      </c>
      <c r="F19" s="24">
        <v>0</v>
      </c>
      <c r="G19" s="25">
        <v>1</v>
      </c>
      <c r="H19" s="29"/>
      <c r="I19" s="26">
        <f t="shared" si="0"/>
        <v>0</v>
      </c>
      <c r="J19" s="22"/>
      <c r="K19" s="53">
        <f t="shared" si="1"/>
        <v>0</v>
      </c>
      <c r="L19" s="14"/>
    </row>
    <row r="20" spans="2:12">
      <c r="B20" s="132" t="s">
        <v>42</v>
      </c>
      <c r="C20" s="150"/>
      <c r="D20" s="133"/>
      <c r="E20" s="58" t="s">
        <v>44</v>
      </c>
      <c r="F20" s="24">
        <v>0</v>
      </c>
      <c r="G20" s="25">
        <v>1</v>
      </c>
      <c r="H20" s="23"/>
      <c r="I20" s="26">
        <f t="shared" si="0"/>
        <v>0</v>
      </c>
      <c r="J20" s="22"/>
      <c r="K20" s="53">
        <f t="shared" si="1"/>
        <v>0</v>
      </c>
      <c r="L20" s="14"/>
    </row>
    <row r="21" spans="2:12">
      <c r="B21" s="132" t="s">
        <v>43</v>
      </c>
      <c r="C21" s="150"/>
      <c r="D21" s="133"/>
      <c r="E21" s="58" t="s">
        <v>44</v>
      </c>
      <c r="F21" s="24">
        <v>0</v>
      </c>
      <c r="G21" s="25">
        <v>1</v>
      </c>
      <c r="H21" s="29"/>
      <c r="I21" s="26">
        <f t="shared" si="0"/>
        <v>0</v>
      </c>
      <c r="J21" s="22"/>
      <c r="K21" s="53">
        <f t="shared" si="1"/>
        <v>0</v>
      </c>
      <c r="L21" s="14"/>
    </row>
    <row r="22" spans="2:12">
      <c r="B22" s="132"/>
      <c r="C22" s="150"/>
      <c r="D22" s="133"/>
      <c r="E22" s="23"/>
      <c r="F22" s="24">
        <v>0</v>
      </c>
      <c r="G22" s="25">
        <v>1</v>
      </c>
      <c r="H22" s="29"/>
      <c r="I22" s="26">
        <f t="shared" si="0"/>
        <v>0</v>
      </c>
      <c r="J22" s="22"/>
      <c r="K22" s="53">
        <f t="shared" si="1"/>
        <v>0</v>
      </c>
      <c r="L22" s="14"/>
    </row>
    <row r="23" spans="2:12">
      <c r="B23" s="151"/>
      <c r="C23" s="152"/>
      <c r="D23" s="153"/>
      <c r="E23" s="23"/>
      <c r="F23" s="24">
        <v>0</v>
      </c>
      <c r="G23" s="25">
        <v>1</v>
      </c>
      <c r="H23" s="29"/>
      <c r="I23" s="26">
        <f t="shared" si="0"/>
        <v>0</v>
      </c>
      <c r="J23" s="22"/>
      <c r="K23" s="53">
        <f t="shared" si="1"/>
        <v>0</v>
      </c>
      <c r="L23" s="14"/>
    </row>
    <row r="24" spans="2:12">
      <c r="B24" s="151"/>
      <c r="C24" s="152"/>
      <c r="D24" s="153"/>
      <c r="E24" s="23"/>
      <c r="F24" s="24">
        <v>0</v>
      </c>
      <c r="G24" s="25">
        <v>1</v>
      </c>
      <c r="H24" s="29"/>
      <c r="I24" s="26">
        <f t="shared" si="0"/>
        <v>0</v>
      </c>
      <c r="J24" s="22"/>
      <c r="K24" s="53">
        <f t="shared" si="1"/>
        <v>0</v>
      </c>
      <c r="L24" s="14"/>
    </row>
    <row r="25" spans="2:12" ht="13.5" thickBot="1">
      <c r="B25" s="151"/>
      <c r="C25" s="152"/>
      <c r="D25" s="153"/>
      <c r="E25" s="23"/>
      <c r="F25" s="24">
        <v>0</v>
      </c>
      <c r="G25" s="25">
        <v>1</v>
      </c>
      <c r="H25" s="29"/>
      <c r="I25" s="26">
        <f t="shared" si="0"/>
        <v>0</v>
      </c>
      <c r="J25" s="22"/>
      <c r="K25" s="53">
        <f t="shared" si="1"/>
        <v>0</v>
      </c>
      <c r="L25" s="14"/>
    </row>
    <row r="26" spans="2:12" ht="13.5" thickBot="1">
      <c r="B26" s="186"/>
      <c r="C26" s="187"/>
      <c r="D26" s="188"/>
      <c r="E26" s="23"/>
      <c r="F26" s="24">
        <v>0</v>
      </c>
      <c r="G26" s="25">
        <v>1</v>
      </c>
      <c r="H26" s="29"/>
      <c r="I26" s="26">
        <f t="shared" si="0"/>
        <v>0</v>
      </c>
      <c r="J26" s="22"/>
      <c r="K26" s="53">
        <f t="shared" si="1"/>
        <v>0</v>
      </c>
      <c r="L26" s="49">
        <f>SUM(K5:K26)</f>
        <v>56.725000000000001</v>
      </c>
    </row>
    <row r="27" spans="2:12" ht="15" customHeight="1">
      <c r="B27" s="172" t="s">
        <v>14</v>
      </c>
      <c r="C27" s="173"/>
      <c r="D27" s="174"/>
      <c r="E27" s="176" t="s">
        <v>11</v>
      </c>
      <c r="F27" s="177"/>
      <c r="G27" s="160" t="s">
        <v>12</v>
      </c>
      <c r="H27" s="162" t="s">
        <v>5</v>
      </c>
      <c r="I27" s="163"/>
      <c r="J27" s="164" t="s">
        <v>9</v>
      </c>
      <c r="K27" s="158" t="s">
        <v>2</v>
      </c>
      <c r="L27" s="155" t="s">
        <v>3</v>
      </c>
    </row>
    <row r="28" spans="2:12" ht="15" customHeight="1" thickBot="1">
      <c r="B28" s="142"/>
      <c r="C28" s="175"/>
      <c r="D28" s="143"/>
      <c r="E28" s="32" t="s">
        <v>1</v>
      </c>
      <c r="F28" s="33" t="s">
        <v>6</v>
      </c>
      <c r="G28" s="161"/>
      <c r="H28" s="34" t="s">
        <v>1</v>
      </c>
      <c r="I28" s="35" t="s">
        <v>6</v>
      </c>
      <c r="J28" s="165"/>
      <c r="K28" s="159"/>
      <c r="L28" s="156"/>
    </row>
    <row r="29" spans="2:12">
      <c r="B29" s="166" t="s">
        <v>19</v>
      </c>
      <c r="C29" s="167"/>
      <c r="D29" s="168"/>
      <c r="E29" s="58" t="s">
        <v>44</v>
      </c>
      <c r="F29" s="24">
        <v>8.99</v>
      </c>
      <c r="G29" s="28">
        <v>12</v>
      </c>
      <c r="H29" s="29" t="s">
        <v>4</v>
      </c>
      <c r="I29" s="26">
        <f t="shared" ref="I29:I42" si="2">F29/G29</f>
        <v>0.74916666666666665</v>
      </c>
      <c r="J29" s="22">
        <v>22</v>
      </c>
      <c r="K29" s="53">
        <f>J29*I29</f>
        <v>16.481666666666666</v>
      </c>
      <c r="L29" s="14"/>
    </row>
    <row r="30" spans="2:12">
      <c r="B30" s="157" t="s">
        <v>29</v>
      </c>
      <c r="C30" s="152"/>
      <c r="D30" s="153"/>
      <c r="E30" s="58" t="s">
        <v>44</v>
      </c>
      <c r="F30" s="24">
        <v>24.99</v>
      </c>
      <c r="G30" s="28">
        <v>24</v>
      </c>
      <c r="H30" s="29" t="s">
        <v>4</v>
      </c>
      <c r="I30" s="26">
        <f t="shared" si="2"/>
        <v>1.04125</v>
      </c>
      <c r="J30" s="22">
        <v>33</v>
      </c>
      <c r="K30" s="53">
        <f>J30*I30</f>
        <v>34.361249999999998</v>
      </c>
      <c r="L30" s="14"/>
    </row>
    <row r="31" spans="2:12">
      <c r="B31" s="157" t="s">
        <v>20</v>
      </c>
      <c r="C31" s="152"/>
      <c r="D31" s="153"/>
      <c r="E31" s="58" t="s">
        <v>44</v>
      </c>
      <c r="F31" s="24">
        <v>0</v>
      </c>
      <c r="G31" s="28">
        <v>1</v>
      </c>
      <c r="H31" s="29"/>
      <c r="I31" s="26">
        <f t="shared" si="2"/>
        <v>0</v>
      </c>
      <c r="J31" s="22"/>
      <c r="K31" s="53">
        <f>J31*I31</f>
        <v>0</v>
      </c>
      <c r="L31" s="14"/>
    </row>
    <row r="32" spans="2:12">
      <c r="B32" s="132" t="s">
        <v>21</v>
      </c>
      <c r="C32" s="150"/>
      <c r="D32" s="133"/>
      <c r="E32" s="58" t="s">
        <v>44</v>
      </c>
      <c r="F32" s="24">
        <v>0</v>
      </c>
      <c r="G32" s="28">
        <v>1</v>
      </c>
      <c r="H32" s="29"/>
      <c r="I32" s="26">
        <f t="shared" si="2"/>
        <v>0</v>
      </c>
      <c r="J32" s="22"/>
      <c r="K32" s="53">
        <f t="shared" ref="K32:K38" si="3">J32*I32</f>
        <v>0</v>
      </c>
      <c r="L32" s="14"/>
    </row>
    <row r="33" spans="2:12">
      <c r="B33" s="132" t="s">
        <v>22</v>
      </c>
      <c r="C33" s="150"/>
      <c r="D33" s="133"/>
      <c r="E33" s="58" t="s">
        <v>44</v>
      </c>
      <c r="F33" s="24">
        <v>0</v>
      </c>
      <c r="G33" s="28">
        <v>1</v>
      </c>
      <c r="H33" s="29"/>
      <c r="I33" s="26">
        <f t="shared" si="2"/>
        <v>0</v>
      </c>
      <c r="J33" s="22"/>
      <c r="K33" s="53">
        <f t="shared" si="3"/>
        <v>0</v>
      </c>
      <c r="L33" s="14"/>
    </row>
    <row r="34" spans="2:12">
      <c r="B34" s="132" t="s">
        <v>23</v>
      </c>
      <c r="C34" s="150"/>
      <c r="D34" s="133"/>
      <c r="E34" s="58" t="s">
        <v>44</v>
      </c>
      <c r="F34" s="24">
        <v>0</v>
      </c>
      <c r="G34" s="28">
        <v>1</v>
      </c>
      <c r="H34" s="29"/>
      <c r="I34" s="26">
        <f t="shared" si="2"/>
        <v>0</v>
      </c>
      <c r="J34" s="22"/>
      <c r="K34" s="53">
        <f t="shared" si="3"/>
        <v>0</v>
      </c>
      <c r="L34" s="14"/>
    </row>
    <row r="35" spans="2:12">
      <c r="B35" s="132" t="s">
        <v>24</v>
      </c>
      <c r="C35" s="150"/>
      <c r="D35" s="133"/>
      <c r="E35" s="58" t="s">
        <v>44</v>
      </c>
      <c r="F35" s="24">
        <v>0</v>
      </c>
      <c r="G35" s="28">
        <v>1</v>
      </c>
      <c r="H35" s="29"/>
      <c r="I35" s="26">
        <f t="shared" si="2"/>
        <v>0</v>
      </c>
      <c r="J35" s="22"/>
      <c r="K35" s="53">
        <f t="shared" si="3"/>
        <v>0</v>
      </c>
      <c r="L35" s="14"/>
    </row>
    <row r="36" spans="2:12">
      <c r="B36" s="132" t="s">
        <v>25</v>
      </c>
      <c r="C36" s="150"/>
      <c r="D36" s="133"/>
      <c r="E36" s="58" t="s">
        <v>44</v>
      </c>
      <c r="F36" s="24">
        <v>0</v>
      </c>
      <c r="G36" s="28">
        <v>1</v>
      </c>
      <c r="H36" s="29"/>
      <c r="I36" s="26">
        <f t="shared" si="2"/>
        <v>0</v>
      </c>
      <c r="J36" s="22"/>
      <c r="K36" s="53">
        <f t="shared" si="3"/>
        <v>0</v>
      </c>
      <c r="L36" s="14"/>
    </row>
    <row r="37" spans="2:12">
      <c r="B37" s="132" t="s">
        <v>26</v>
      </c>
      <c r="C37" s="150"/>
      <c r="D37" s="133"/>
      <c r="E37" s="58" t="s">
        <v>44</v>
      </c>
      <c r="F37" s="24">
        <v>0</v>
      </c>
      <c r="G37" s="28">
        <v>1</v>
      </c>
      <c r="H37" s="29"/>
      <c r="I37" s="26">
        <f t="shared" si="2"/>
        <v>0</v>
      </c>
      <c r="J37" s="22"/>
      <c r="K37" s="53">
        <f t="shared" si="3"/>
        <v>0</v>
      </c>
      <c r="L37" s="14"/>
    </row>
    <row r="38" spans="2:12">
      <c r="B38" s="132" t="s">
        <v>27</v>
      </c>
      <c r="C38" s="150"/>
      <c r="D38" s="133"/>
      <c r="E38" s="58" t="s">
        <v>44</v>
      </c>
      <c r="F38" s="24">
        <v>0</v>
      </c>
      <c r="G38" s="28">
        <v>1</v>
      </c>
      <c r="H38" s="29"/>
      <c r="I38" s="26">
        <f t="shared" si="2"/>
        <v>0</v>
      </c>
      <c r="J38" s="22"/>
      <c r="K38" s="53">
        <f t="shared" si="3"/>
        <v>0</v>
      </c>
      <c r="L38" s="14"/>
    </row>
    <row r="39" spans="2:12">
      <c r="B39" s="132" t="s">
        <v>28</v>
      </c>
      <c r="C39" s="150"/>
      <c r="D39" s="133"/>
      <c r="E39" s="58" t="s">
        <v>44</v>
      </c>
      <c r="F39" s="24">
        <v>0</v>
      </c>
      <c r="G39" s="28">
        <v>1</v>
      </c>
      <c r="H39" s="29"/>
      <c r="I39" s="26">
        <f t="shared" si="2"/>
        <v>0</v>
      </c>
      <c r="J39" s="22"/>
      <c r="K39" s="53">
        <f t="shared" ref="K39:K42" si="4">J39*I39</f>
        <v>0</v>
      </c>
      <c r="L39" s="14"/>
    </row>
    <row r="40" spans="2:12">
      <c r="B40" s="151"/>
      <c r="C40" s="152"/>
      <c r="D40" s="153"/>
      <c r="E40" s="23"/>
      <c r="F40" s="24">
        <v>0</v>
      </c>
      <c r="G40" s="28">
        <v>1</v>
      </c>
      <c r="H40" s="29"/>
      <c r="I40" s="26">
        <f t="shared" si="2"/>
        <v>0</v>
      </c>
      <c r="J40" s="22"/>
      <c r="K40" s="53">
        <f t="shared" si="4"/>
        <v>0</v>
      </c>
      <c r="L40" s="14"/>
    </row>
    <row r="41" spans="2:12" ht="13.5" thickBot="1">
      <c r="B41" s="151"/>
      <c r="C41" s="152"/>
      <c r="D41" s="153"/>
      <c r="E41" s="23"/>
      <c r="F41" s="24">
        <v>0</v>
      </c>
      <c r="G41" s="28">
        <v>1</v>
      </c>
      <c r="H41" s="29"/>
      <c r="I41" s="26">
        <f t="shared" si="2"/>
        <v>0</v>
      </c>
      <c r="J41" s="22"/>
      <c r="K41" s="53">
        <f t="shared" si="4"/>
        <v>0</v>
      </c>
      <c r="L41" s="14"/>
    </row>
    <row r="42" spans="2:12" ht="13.5" thickBot="1">
      <c r="B42" s="169"/>
      <c r="C42" s="170"/>
      <c r="D42" s="171"/>
      <c r="E42" s="23"/>
      <c r="F42" s="24">
        <v>0</v>
      </c>
      <c r="G42" s="28">
        <v>1</v>
      </c>
      <c r="H42" s="29"/>
      <c r="I42" s="26">
        <f t="shared" si="2"/>
        <v>0</v>
      </c>
      <c r="J42" s="22"/>
      <c r="K42" s="54">
        <f t="shared" si="4"/>
        <v>0</v>
      </c>
      <c r="L42" s="49">
        <f>SUM(K29:K42)</f>
        <v>50.842916666666667</v>
      </c>
    </row>
    <row r="43" spans="2:12" ht="15" customHeight="1">
      <c r="B43" s="172" t="s">
        <v>15</v>
      </c>
      <c r="C43" s="173"/>
      <c r="D43" s="174"/>
      <c r="E43" s="176" t="s">
        <v>11</v>
      </c>
      <c r="F43" s="177"/>
      <c r="G43" s="160" t="s">
        <v>12</v>
      </c>
      <c r="H43" s="162" t="s">
        <v>5</v>
      </c>
      <c r="I43" s="163"/>
      <c r="J43" s="164" t="s">
        <v>9</v>
      </c>
      <c r="K43" s="158" t="s">
        <v>2</v>
      </c>
      <c r="L43" s="155" t="s">
        <v>3</v>
      </c>
    </row>
    <row r="44" spans="2:12" ht="15" customHeight="1" thickBot="1">
      <c r="B44" s="142"/>
      <c r="C44" s="175"/>
      <c r="D44" s="143"/>
      <c r="E44" s="32" t="s">
        <v>1</v>
      </c>
      <c r="F44" s="33" t="s">
        <v>6</v>
      </c>
      <c r="G44" s="161"/>
      <c r="H44" s="34" t="s">
        <v>1</v>
      </c>
      <c r="I44" s="35" t="s">
        <v>6</v>
      </c>
      <c r="J44" s="165"/>
      <c r="K44" s="159"/>
      <c r="L44" s="156"/>
    </row>
    <row r="45" spans="2:12">
      <c r="B45" s="166" t="s">
        <v>20</v>
      </c>
      <c r="C45" s="167"/>
      <c r="D45" s="168"/>
      <c r="E45" s="23" t="s">
        <v>16</v>
      </c>
      <c r="F45" s="24">
        <v>75</v>
      </c>
      <c r="G45" s="28">
        <v>1</v>
      </c>
      <c r="H45" s="29" t="s">
        <v>17</v>
      </c>
      <c r="I45" s="26">
        <f t="shared" ref="I45:I48" si="5">F45/G45</f>
        <v>75</v>
      </c>
      <c r="J45" s="22">
        <v>3</v>
      </c>
      <c r="K45" s="53">
        <f>J45*I45</f>
        <v>225</v>
      </c>
      <c r="L45" s="14"/>
    </row>
    <row r="46" spans="2:12">
      <c r="B46" s="157" t="s">
        <v>47</v>
      </c>
      <c r="C46" s="152"/>
      <c r="D46" s="153"/>
      <c r="E46" s="23" t="s">
        <v>16</v>
      </c>
      <c r="F46" s="24">
        <v>75</v>
      </c>
      <c r="G46" s="28">
        <v>1</v>
      </c>
      <c r="H46" s="29" t="s">
        <v>17</v>
      </c>
      <c r="I46" s="26">
        <f t="shared" si="5"/>
        <v>75</v>
      </c>
      <c r="J46" s="22">
        <v>3</v>
      </c>
      <c r="K46" s="53">
        <f>J46*I46</f>
        <v>225</v>
      </c>
      <c r="L46" s="14"/>
    </row>
    <row r="47" spans="2:12" ht="13.5" thickBot="1">
      <c r="B47" s="169"/>
      <c r="C47" s="170"/>
      <c r="D47" s="171"/>
      <c r="E47" s="23"/>
      <c r="F47" s="24">
        <v>0</v>
      </c>
      <c r="G47" s="28">
        <v>1</v>
      </c>
      <c r="H47" s="29"/>
      <c r="I47" s="26">
        <f t="shared" si="5"/>
        <v>0</v>
      </c>
      <c r="J47" s="22"/>
      <c r="K47" s="53">
        <f>J47*I47</f>
        <v>0</v>
      </c>
      <c r="L47" s="14"/>
    </row>
    <row r="48" spans="2:12" ht="13.5" thickBot="1">
      <c r="B48" s="169"/>
      <c r="C48" s="170"/>
      <c r="D48" s="171"/>
      <c r="E48" s="23"/>
      <c r="F48" s="24">
        <v>0</v>
      </c>
      <c r="G48" s="28">
        <v>1</v>
      </c>
      <c r="H48" s="29"/>
      <c r="I48" s="26">
        <f t="shared" si="5"/>
        <v>0</v>
      </c>
      <c r="J48" s="22"/>
      <c r="K48" s="54">
        <f t="shared" ref="K48" si="6">J48*I48</f>
        <v>0</v>
      </c>
      <c r="L48" s="49">
        <f>SUM(K45:K48)</f>
        <v>450</v>
      </c>
    </row>
    <row r="49" spans="2:12" ht="14.25" customHeight="1">
      <c r="B49" s="172" t="s">
        <v>8</v>
      </c>
      <c r="C49" s="173"/>
      <c r="D49" s="174"/>
      <c r="E49" s="176" t="s">
        <v>11</v>
      </c>
      <c r="F49" s="177"/>
      <c r="G49" s="160" t="s">
        <v>12</v>
      </c>
      <c r="H49" s="162" t="s">
        <v>5</v>
      </c>
      <c r="I49" s="163"/>
      <c r="J49" s="164" t="s">
        <v>9</v>
      </c>
      <c r="K49" s="158" t="s">
        <v>2</v>
      </c>
      <c r="L49" s="155" t="s">
        <v>3</v>
      </c>
    </row>
    <row r="50" spans="2:12" ht="15" customHeight="1" thickBot="1">
      <c r="B50" s="142"/>
      <c r="C50" s="175"/>
      <c r="D50" s="143"/>
      <c r="E50" s="32" t="s">
        <v>1</v>
      </c>
      <c r="F50" s="33" t="s">
        <v>6</v>
      </c>
      <c r="G50" s="161"/>
      <c r="H50" s="34" t="s">
        <v>1</v>
      </c>
      <c r="I50" s="35" t="s">
        <v>6</v>
      </c>
      <c r="J50" s="165"/>
      <c r="K50" s="159"/>
      <c r="L50" s="156"/>
    </row>
    <row r="51" spans="2:12">
      <c r="B51" s="178" t="s">
        <v>18</v>
      </c>
      <c r="C51" s="167"/>
      <c r="D51" s="168"/>
      <c r="E51" s="58" t="s">
        <v>44</v>
      </c>
      <c r="F51" s="24">
        <v>48</v>
      </c>
      <c r="G51" s="28">
        <v>12</v>
      </c>
      <c r="H51" s="29" t="s">
        <v>4</v>
      </c>
      <c r="I51" s="26">
        <f t="shared" ref="I51:I56" si="7">F51/G51</f>
        <v>4</v>
      </c>
      <c r="J51" s="22">
        <v>1</v>
      </c>
      <c r="K51" s="53">
        <f t="shared" ref="K51:K56" si="8">J51*I51</f>
        <v>4</v>
      </c>
      <c r="L51" s="14"/>
    </row>
    <row r="52" spans="2:12">
      <c r="B52" s="157" t="s">
        <v>48</v>
      </c>
      <c r="C52" s="152"/>
      <c r="D52" s="153"/>
      <c r="E52" s="58" t="s">
        <v>44</v>
      </c>
      <c r="F52" s="24">
        <v>0</v>
      </c>
      <c r="G52" s="28">
        <v>1</v>
      </c>
      <c r="H52" s="29"/>
      <c r="I52" s="26">
        <f t="shared" si="7"/>
        <v>0</v>
      </c>
      <c r="J52" s="22"/>
      <c r="K52" s="53">
        <f t="shared" si="8"/>
        <v>0</v>
      </c>
      <c r="L52" s="14"/>
    </row>
    <row r="53" spans="2:12">
      <c r="B53" s="157" t="s">
        <v>49</v>
      </c>
      <c r="C53" s="152"/>
      <c r="D53" s="153"/>
      <c r="E53" s="58" t="s">
        <v>44</v>
      </c>
      <c r="F53" s="24">
        <v>0</v>
      </c>
      <c r="G53" s="28">
        <v>1</v>
      </c>
      <c r="H53" s="29"/>
      <c r="I53" s="26">
        <f t="shared" si="7"/>
        <v>0</v>
      </c>
      <c r="J53" s="22"/>
      <c r="K53" s="53">
        <f t="shared" si="8"/>
        <v>0</v>
      </c>
      <c r="L53" s="14"/>
    </row>
    <row r="54" spans="2:12">
      <c r="B54" s="157" t="s">
        <v>50</v>
      </c>
      <c r="C54" s="152"/>
      <c r="D54" s="153"/>
      <c r="E54" s="58" t="s">
        <v>44</v>
      </c>
      <c r="F54" s="24">
        <v>0</v>
      </c>
      <c r="G54" s="28">
        <v>1</v>
      </c>
      <c r="H54" s="29"/>
      <c r="I54" s="26">
        <f t="shared" si="7"/>
        <v>0</v>
      </c>
      <c r="J54" s="22"/>
      <c r="K54" s="53">
        <f t="shared" si="8"/>
        <v>0</v>
      </c>
      <c r="L54" s="14"/>
    </row>
    <row r="55" spans="2:12" ht="13.5" thickBot="1">
      <c r="B55" s="151"/>
      <c r="C55" s="152"/>
      <c r="D55" s="153"/>
      <c r="E55" s="23"/>
      <c r="F55" s="24">
        <v>0</v>
      </c>
      <c r="G55" s="28">
        <v>1</v>
      </c>
      <c r="H55" s="29"/>
      <c r="I55" s="26">
        <f t="shared" si="7"/>
        <v>0</v>
      </c>
      <c r="J55" s="22"/>
      <c r="K55" s="53">
        <f t="shared" si="8"/>
        <v>0</v>
      </c>
      <c r="L55" s="14"/>
    </row>
    <row r="56" spans="2:12" ht="13.5" thickBot="1">
      <c r="B56" s="151"/>
      <c r="C56" s="152"/>
      <c r="D56" s="153"/>
      <c r="E56" s="23"/>
      <c r="F56" s="24">
        <v>0</v>
      </c>
      <c r="G56" s="28">
        <v>1</v>
      </c>
      <c r="H56" s="29"/>
      <c r="I56" s="26">
        <f t="shared" si="7"/>
        <v>0</v>
      </c>
      <c r="J56" s="22"/>
      <c r="K56" s="53">
        <f t="shared" si="8"/>
        <v>0</v>
      </c>
      <c r="L56" s="49">
        <f>SUM(K51:K56)</f>
        <v>4</v>
      </c>
    </row>
    <row r="57" spans="2:12" ht="14.25" customHeight="1">
      <c r="B57" s="172" t="s">
        <v>51</v>
      </c>
      <c r="C57" s="173"/>
      <c r="D57" s="174"/>
      <c r="E57" s="176" t="s">
        <v>11</v>
      </c>
      <c r="F57" s="177"/>
      <c r="G57" s="160" t="s">
        <v>12</v>
      </c>
      <c r="H57" s="162" t="s">
        <v>5</v>
      </c>
      <c r="I57" s="163"/>
      <c r="J57" s="164" t="s">
        <v>9</v>
      </c>
      <c r="K57" s="158" t="s">
        <v>2</v>
      </c>
      <c r="L57" s="155" t="s">
        <v>3</v>
      </c>
    </row>
    <row r="58" spans="2:12" ht="15" customHeight="1" thickBot="1">
      <c r="B58" s="142"/>
      <c r="C58" s="175"/>
      <c r="D58" s="143"/>
      <c r="E58" s="32" t="s">
        <v>1</v>
      </c>
      <c r="F58" s="33" t="s">
        <v>6</v>
      </c>
      <c r="G58" s="161"/>
      <c r="H58" s="34" t="s">
        <v>1</v>
      </c>
      <c r="I58" s="35" t="s">
        <v>6</v>
      </c>
      <c r="J58" s="165"/>
      <c r="K58" s="159"/>
      <c r="L58" s="156"/>
    </row>
    <row r="59" spans="2:12">
      <c r="B59" s="134" t="s">
        <v>52</v>
      </c>
      <c r="C59" s="154"/>
      <c r="D59" s="135"/>
      <c r="E59" s="58" t="s">
        <v>44</v>
      </c>
      <c r="F59" s="24">
        <v>18</v>
      </c>
      <c r="G59" s="28">
        <v>12</v>
      </c>
      <c r="H59" s="29" t="s">
        <v>4</v>
      </c>
      <c r="I59" s="26">
        <f t="shared" ref="I59:I93" si="9">F59/G59</f>
        <v>1.5</v>
      </c>
      <c r="J59" s="22">
        <v>1</v>
      </c>
      <c r="K59" s="53">
        <f t="shared" ref="K59:K93" si="10">J59*I59</f>
        <v>1.5</v>
      </c>
      <c r="L59" s="14"/>
    </row>
    <row r="60" spans="2:12">
      <c r="B60" s="132" t="s">
        <v>53</v>
      </c>
      <c r="C60" s="150"/>
      <c r="D60" s="133"/>
      <c r="E60" s="58"/>
      <c r="F60" s="24"/>
      <c r="G60" s="28"/>
      <c r="H60" s="29"/>
      <c r="I60" s="26"/>
      <c r="J60" s="22"/>
      <c r="K60" s="53"/>
      <c r="L60" s="14"/>
    </row>
    <row r="61" spans="2:12">
      <c r="B61" s="63" t="s">
        <v>54</v>
      </c>
      <c r="C61" s="55"/>
      <c r="D61" s="56"/>
      <c r="E61" s="58"/>
      <c r="F61" s="24"/>
      <c r="G61" s="28"/>
      <c r="H61" s="29"/>
      <c r="I61" s="26"/>
      <c r="J61" s="22"/>
      <c r="K61" s="53"/>
      <c r="L61" s="14"/>
    </row>
    <row r="62" spans="2:12">
      <c r="B62" s="136" t="s">
        <v>55</v>
      </c>
      <c r="C62" s="150"/>
      <c r="D62" s="133"/>
      <c r="E62" s="58" t="s">
        <v>44</v>
      </c>
      <c r="F62" s="24">
        <v>0</v>
      </c>
      <c r="G62" s="28">
        <v>1</v>
      </c>
      <c r="H62" s="29"/>
      <c r="I62" s="26">
        <f t="shared" si="9"/>
        <v>0</v>
      </c>
      <c r="J62" s="22"/>
      <c r="K62" s="53">
        <f t="shared" si="10"/>
        <v>0</v>
      </c>
      <c r="L62" s="14"/>
    </row>
    <row r="63" spans="2:12">
      <c r="B63" s="63" t="s">
        <v>56</v>
      </c>
      <c r="C63" s="55"/>
      <c r="D63" s="56"/>
      <c r="E63" s="58" t="s">
        <v>44</v>
      </c>
      <c r="F63" s="24"/>
      <c r="G63" s="28"/>
      <c r="H63" s="29"/>
      <c r="I63" s="26"/>
      <c r="J63" s="22"/>
      <c r="K63" s="53"/>
      <c r="L63" s="14"/>
    </row>
    <row r="64" spans="2:12">
      <c r="B64" s="63" t="s">
        <v>57</v>
      </c>
      <c r="C64" s="55"/>
      <c r="D64" s="56"/>
      <c r="E64" s="58" t="s">
        <v>44</v>
      </c>
      <c r="F64" s="24"/>
      <c r="G64" s="28"/>
      <c r="H64" s="29"/>
      <c r="I64" s="26"/>
      <c r="J64" s="22"/>
      <c r="K64" s="53"/>
      <c r="L64" s="14"/>
    </row>
    <row r="65" spans="2:12">
      <c r="B65" s="63" t="s">
        <v>61</v>
      </c>
      <c r="C65" s="55"/>
      <c r="D65" s="56"/>
      <c r="E65" s="58" t="s">
        <v>44</v>
      </c>
      <c r="F65" s="24"/>
      <c r="G65" s="28"/>
      <c r="H65" s="29"/>
      <c r="I65" s="26"/>
      <c r="J65" s="22"/>
      <c r="K65" s="53"/>
      <c r="L65" s="14"/>
    </row>
    <row r="66" spans="2:12">
      <c r="B66" s="63" t="s">
        <v>62</v>
      </c>
      <c r="C66" s="55"/>
      <c r="D66" s="56"/>
      <c r="E66" s="58" t="s">
        <v>44</v>
      </c>
      <c r="F66" s="24"/>
      <c r="G66" s="28"/>
      <c r="H66" s="29"/>
      <c r="I66" s="26"/>
      <c r="J66" s="22"/>
      <c r="K66" s="53"/>
      <c r="L66" s="14"/>
    </row>
    <row r="67" spans="2:12">
      <c r="B67" s="63" t="s">
        <v>58</v>
      </c>
      <c r="C67" s="55"/>
      <c r="D67" s="56"/>
      <c r="E67" s="58" t="s">
        <v>44</v>
      </c>
      <c r="F67" s="24"/>
      <c r="G67" s="28"/>
      <c r="H67" s="29"/>
      <c r="I67" s="26"/>
      <c r="J67" s="22"/>
      <c r="K67" s="53"/>
      <c r="L67" s="14"/>
    </row>
    <row r="68" spans="2:12">
      <c r="B68" s="63" t="s">
        <v>59</v>
      </c>
      <c r="C68" s="55"/>
      <c r="D68" s="56"/>
      <c r="E68" s="58" t="s">
        <v>44</v>
      </c>
      <c r="F68" s="24"/>
      <c r="G68" s="28"/>
      <c r="H68" s="29"/>
      <c r="I68" s="26"/>
      <c r="J68" s="22"/>
      <c r="K68" s="53"/>
      <c r="L68" s="14"/>
    </row>
    <row r="69" spans="2:12">
      <c r="B69" s="63" t="s">
        <v>60</v>
      </c>
      <c r="C69" s="55"/>
      <c r="D69" s="56"/>
      <c r="E69" s="58" t="s">
        <v>44</v>
      </c>
      <c r="F69" s="24"/>
      <c r="G69" s="28"/>
      <c r="H69" s="29"/>
      <c r="I69" s="26"/>
      <c r="J69" s="22"/>
      <c r="K69" s="53"/>
      <c r="L69" s="14"/>
    </row>
    <row r="70" spans="2:12">
      <c r="B70" s="63" t="s">
        <v>63</v>
      </c>
      <c r="C70" s="55"/>
      <c r="D70" s="56"/>
      <c r="E70" s="58" t="s">
        <v>44</v>
      </c>
      <c r="F70" s="24"/>
      <c r="G70" s="28"/>
      <c r="H70" s="29"/>
      <c r="I70" s="26"/>
      <c r="J70" s="22"/>
      <c r="K70" s="53"/>
      <c r="L70" s="14"/>
    </row>
    <row r="71" spans="2:12">
      <c r="B71" s="63" t="s">
        <v>64</v>
      </c>
      <c r="C71" s="55"/>
      <c r="D71" s="56"/>
      <c r="E71" s="58" t="s">
        <v>44</v>
      </c>
      <c r="F71" s="24"/>
      <c r="G71" s="28"/>
      <c r="H71" s="29"/>
      <c r="I71" s="26"/>
      <c r="J71" s="22"/>
      <c r="K71" s="53"/>
      <c r="L71" s="14"/>
    </row>
    <row r="72" spans="2:12">
      <c r="B72" s="136" t="s">
        <v>65</v>
      </c>
      <c r="C72" s="150"/>
      <c r="D72" s="133"/>
      <c r="E72" s="58" t="s">
        <v>44</v>
      </c>
      <c r="F72" s="24">
        <v>0</v>
      </c>
      <c r="G72" s="28">
        <v>1</v>
      </c>
      <c r="H72" s="29"/>
      <c r="I72" s="26">
        <f t="shared" si="9"/>
        <v>0</v>
      </c>
      <c r="J72" s="22"/>
      <c r="K72" s="53">
        <f t="shared" si="10"/>
        <v>0</v>
      </c>
      <c r="L72" s="14"/>
    </row>
    <row r="73" spans="2:12">
      <c r="B73" s="136" t="s">
        <v>66</v>
      </c>
      <c r="C73" s="150"/>
      <c r="D73" s="133"/>
      <c r="E73" s="58" t="s">
        <v>44</v>
      </c>
      <c r="F73" s="24">
        <v>0</v>
      </c>
      <c r="G73" s="28">
        <v>1</v>
      </c>
      <c r="H73" s="29"/>
      <c r="I73" s="26">
        <f t="shared" si="9"/>
        <v>0</v>
      </c>
      <c r="J73" s="22"/>
      <c r="K73" s="53">
        <f t="shared" si="10"/>
        <v>0</v>
      </c>
      <c r="L73" s="14"/>
    </row>
    <row r="74" spans="2:12">
      <c r="B74" s="136" t="s">
        <v>67</v>
      </c>
      <c r="C74" s="150"/>
      <c r="D74" s="133"/>
      <c r="E74" s="58" t="s">
        <v>44</v>
      </c>
      <c r="F74" s="24">
        <v>0</v>
      </c>
      <c r="G74" s="28">
        <v>1</v>
      </c>
      <c r="H74" s="29"/>
      <c r="I74" s="26">
        <f t="shared" si="9"/>
        <v>0</v>
      </c>
      <c r="J74" s="22"/>
      <c r="K74" s="53">
        <f t="shared" si="10"/>
        <v>0</v>
      </c>
      <c r="L74" s="14"/>
    </row>
    <row r="75" spans="2:12">
      <c r="B75" s="136" t="s">
        <v>68</v>
      </c>
      <c r="C75" s="150"/>
      <c r="D75" s="133"/>
      <c r="E75" s="58" t="s">
        <v>44</v>
      </c>
      <c r="F75" s="24">
        <v>0</v>
      </c>
      <c r="G75" s="28">
        <v>1</v>
      </c>
      <c r="H75" s="29"/>
      <c r="I75" s="26">
        <f t="shared" si="9"/>
        <v>0</v>
      </c>
      <c r="J75" s="22"/>
      <c r="K75" s="53">
        <f t="shared" si="10"/>
        <v>0</v>
      </c>
      <c r="L75" s="14"/>
    </row>
    <row r="76" spans="2:12">
      <c r="B76" s="136" t="s">
        <v>69</v>
      </c>
      <c r="C76" s="150"/>
      <c r="D76" s="133"/>
      <c r="E76" s="58" t="s">
        <v>44</v>
      </c>
      <c r="F76" s="24">
        <v>0</v>
      </c>
      <c r="G76" s="28">
        <v>1</v>
      </c>
      <c r="H76" s="29"/>
      <c r="I76" s="26">
        <f t="shared" si="9"/>
        <v>0</v>
      </c>
      <c r="J76" s="22"/>
      <c r="K76" s="53">
        <f t="shared" si="10"/>
        <v>0</v>
      </c>
      <c r="L76" s="14"/>
    </row>
    <row r="77" spans="2:12">
      <c r="B77" s="136" t="s">
        <v>70</v>
      </c>
      <c r="C77" s="150"/>
      <c r="D77" s="133"/>
      <c r="E77" s="58" t="s">
        <v>44</v>
      </c>
      <c r="F77" s="24">
        <v>0</v>
      </c>
      <c r="G77" s="28">
        <v>1</v>
      </c>
      <c r="H77" s="29"/>
      <c r="I77" s="26">
        <f t="shared" si="9"/>
        <v>0</v>
      </c>
      <c r="J77" s="22"/>
      <c r="K77" s="53">
        <f t="shared" si="10"/>
        <v>0</v>
      </c>
      <c r="L77" s="14"/>
    </row>
    <row r="78" spans="2:12">
      <c r="B78" s="136" t="s">
        <v>71</v>
      </c>
      <c r="C78" s="150"/>
      <c r="D78" s="133"/>
      <c r="E78" s="58" t="s">
        <v>77</v>
      </c>
      <c r="F78" s="24">
        <v>0</v>
      </c>
      <c r="G78" s="28">
        <v>1</v>
      </c>
      <c r="H78" s="29"/>
      <c r="I78" s="26">
        <f t="shared" si="9"/>
        <v>0</v>
      </c>
      <c r="J78" s="22"/>
      <c r="K78" s="53">
        <f t="shared" si="10"/>
        <v>0</v>
      </c>
      <c r="L78" s="14"/>
    </row>
    <row r="79" spans="2:12">
      <c r="B79" s="63" t="s">
        <v>72</v>
      </c>
      <c r="C79" s="55"/>
      <c r="D79" s="56"/>
      <c r="E79" s="58" t="s">
        <v>77</v>
      </c>
      <c r="F79" s="24"/>
      <c r="G79" s="28"/>
      <c r="H79" s="29"/>
      <c r="I79" s="26"/>
      <c r="J79" s="22"/>
      <c r="K79" s="53"/>
      <c r="L79" s="14"/>
    </row>
    <row r="80" spans="2:12">
      <c r="B80" s="63" t="s">
        <v>73</v>
      </c>
      <c r="C80" s="55"/>
      <c r="D80" s="56"/>
      <c r="E80" s="58" t="s">
        <v>77</v>
      </c>
      <c r="F80" s="24"/>
      <c r="G80" s="28"/>
      <c r="H80" s="29"/>
      <c r="I80" s="26"/>
      <c r="J80" s="22"/>
      <c r="K80" s="53"/>
      <c r="L80" s="14"/>
    </row>
    <row r="81" spans="2:12">
      <c r="B81" s="63" t="s">
        <v>74</v>
      </c>
      <c r="C81" s="55"/>
      <c r="D81" s="56"/>
      <c r="E81" s="58" t="s">
        <v>77</v>
      </c>
      <c r="F81" s="24"/>
      <c r="G81" s="28"/>
      <c r="H81" s="29"/>
      <c r="I81" s="26"/>
      <c r="J81" s="22"/>
      <c r="K81" s="53"/>
      <c r="L81" s="14"/>
    </row>
    <row r="82" spans="2:12">
      <c r="B82" s="63" t="s">
        <v>75</v>
      </c>
      <c r="C82" s="55"/>
      <c r="D82" s="56"/>
      <c r="E82" s="58" t="s">
        <v>77</v>
      </c>
      <c r="F82" s="24"/>
      <c r="G82" s="28"/>
      <c r="H82" s="29"/>
      <c r="I82" s="26"/>
      <c r="J82" s="22"/>
      <c r="K82" s="53"/>
      <c r="L82" s="14"/>
    </row>
    <row r="83" spans="2:12">
      <c r="B83" s="63" t="s">
        <v>76</v>
      </c>
      <c r="C83" s="55"/>
      <c r="D83" s="56"/>
      <c r="E83" s="58" t="s">
        <v>77</v>
      </c>
      <c r="F83" s="24"/>
      <c r="G83" s="28"/>
      <c r="H83" s="29"/>
      <c r="I83" s="26"/>
      <c r="J83" s="22"/>
      <c r="K83" s="53"/>
      <c r="L83" s="14"/>
    </row>
    <row r="84" spans="2:12">
      <c r="B84" s="63" t="s">
        <v>78</v>
      </c>
      <c r="C84" s="55"/>
      <c r="D84" s="56"/>
      <c r="E84" s="58"/>
      <c r="F84" s="24"/>
      <c r="G84" s="28"/>
      <c r="H84" s="29"/>
      <c r="I84" s="26"/>
      <c r="J84" s="22"/>
      <c r="K84" s="53"/>
      <c r="L84" s="14"/>
    </row>
    <row r="85" spans="2:12">
      <c r="B85" s="63" t="s">
        <v>79</v>
      </c>
      <c r="C85" s="55"/>
      <c r="D85" s="56"/>
      <c r="E85" s="58"/>
      <c r="F85" s="24"/>
      <c r="G85" s="28"/>
      <c r="H85" s="29"/>
      <c r="I85" s="26"/>
      <c r="J85" s="22"/>
      <c r="K85" s="53"/>
      <c r="L85" s="14"/>
    </row>
    <row r="86" spans="2:12">
      <c r="B86" s="63" t="s">
        <v>80</v>
      </c>
      <c r="C86" s="55"/>
      <c r="D86" s="56"/>
      <c r="E86" s="58"/>
      <c r="F86" s="24"/>
      <c r="G86" s="28"/>
      <c r="H86" s="29"/>
      <c r="I86" s="26"/>
      <c r="J86" s="22"/>
      <c r="K86" s="53"/>
      <c r="L86" s="14"/>
    </row>
    <row r="87" spans="2:12">
      <c r="B87" s="63" t="s">
        <v>81</v>
      </c>
      <c r="C87" s="55"/>
      <c r="D87" s="56"/>
      <c r="E87" s="58"/>
      <c r="F87" s="24"/>
      <c r="G87" s="28"/>
      <c r="H87" s="29"/>
      <c r="I87" s="26"/>
      <c r="J87" s="22"/>
      <c r="K87" s="53"/>
      <c r="L87" s="14"/>
    </row>
    <row r="88" spans="2:12">
      <c r="B88" s="63" t="s">
        <v>82</v>
      </c>
      <c r="C88" s="55"/>
      <c r="D88" s="56"/>
      <c r="E88" s="58"/>
      <c r="F88" s="24"/>
      <c r="G88" s="28"/>
      <c r="H88" s="29"/>
      <c r="I88" s="26"/>
      <c r="J88" s="22"/>
      <c r="K88" s="53"/>
      <c r="L88" s="14"/>
    </row>
    <row r="89" spans="2:12">
      <c r="B89" s="63" t="s">
        <v>83</v>
      </c>
      <c r="C89" s="55"/>
      <c r="D89" s="56"/>
      <c r="E89" s="58"/>
      <c r="F89" s="24"/>
      <c r="G89" s="28"/>
      <c r="H89" s="29"/>
      <c r="I89" s="26"/>
      <c r="J89" s="22"/>
      <c r="K89" s="53"/>
      <c r="L89" s="14"/>
    </row>
    <row r="90" spans="2:12">
      <c r="B90" s="63" t="s">
        <v>84</v>
      </c>
      <c r="C90" s="55"/>
      <c r="D90" s="56"/>
      <c r="E90" s="58" t="s">
        <v>44</v>
      </c>
      <c r="F90" s="24"/>
      <c r="G90" s="28"/>
      <c r="H90" s="29"/>
      <c r="I90" s="26"/>
      <c r="J90" s="22"/>
      <c r="K90" s="53"/>
      <c r="L90" s="14"/>
    </row>
    <row r="91" spans="2:12">
      <c r="B91" s="63"/>
      <c r="C91" s="55"/>
      <c r="D91" s="56"/>
      <c r="E91" s="23"/>
      <c r="F91" s="24"/>
      <c r="G91" s="28"/>
      <c r="H91" s="29"/>
      <c r="I91" s="26"/>
      <c r="J91" s="22"/>
      <c r="K91" s="53"/>
      <c r="L91" s="14"/>
    </row>
    <row r="92" spans="2:12" ht="13.5" thickBot="1">
      <c r="B92" s="151"/>
      <c r="C92" s="152"/>
      <c r="D92" s="153"/>
      <c r="E92" s="23"/>
      <c r="F92" s="24">
        <v>0</v>
      </c>
      <c r="G92" s="28">
        <v>1</v>
      </c>
      <c r="H92" s="29"/>
      <c r="I92" s="26">
        <f t="shared" si="9"/>
        <v>0</v>
      </c>
      <c r="J92" s="22"/>
      <c r="K92" s="53">
        <f t="shared" si="10"/>
        <v>0</v>
      </c>
      <c r="L92" s="14"/>
    </row>
    <row r="93" spans="2:12" ht="13.5" thickBot="1">
      <c r="B93" s="151"/>
      <c r="C93" s="152"/>
      <c r="D93" s="153"/>
      <c r="E93" s="23"/>
      <c r="F93" s="24">
        <v>0</v>
      </c>
      <c r="G93" s="28">
        <v>1</v>
      </c>
      <c r="H93" s="29"/>
      <c r="I93" s="26">
        <f t="shared" si="9"/>
        <v>0</v>
      </c>
      <c r="J93" s="22"/>
      <c r="K93" s="53">
        <f t="shared" si="10"/>
        <v>0</v>
      </c>
      <c r="L93" s="49">
        <f>SUM(K57:K93)</f>
        <v>1.5</v>
      </c>
    </row>
    <row r="94" spans="2:12">
      <c r="E94" s="9"/>
      <c r="F94" s="11"/>
      <c r="G94" s="15"/>
      <c r="H94" s="7"/>
      <c r="I94" s="18"/>
      <c r="J94" s="10"/>
      <c r="K94" s="11">
        <f>SUM(K5:K93)</f>
        <v>563.06791666666663</v>
      </c>
      <c r="L94" s="11">
        <f>SUM(L5:L93)</f>
        <v>563.06791666666663</v>
      </c>
    </row>
    <row r="95" spans="2:12">
      <c r="D95" s="1"/>
      <c r="E95" s="59"/>
      <c r="F95" s="60"/>
      <c r="G95" s="61"/>
      <c r="H95" s="60"/>
      <c r="I95" s="60"/>
      <c r="K95" s="11"/>
      <c r="L95" s="11"/>
    </row>
    <row r="96" spans="2:12">
      <c r="D96" s="1"/>
      <c r="E96" s="1"/>
      <c r="F96" s="1"/>
      <c r="H96" s="2"/>
      <c r="K96" s="11"/>
      <c r="L96" s="11"/>
    </row>
    <row r="97" spans="2:12">
      <c r="D97" s="1"/>
      <c r="E97" s="1"/>
      <c r="F97" s="1"/>
      <c r="H97" s="2"/>
      <c r="K97" s="42"/>
      <c r="L97" s="11"/>
    </row>
    <row r="98" spans="2:12">
      <c r="D98" s="1"/>
      <c r="E98" s="1"/>
      <c r="F98" s="1"/>
      <c r="H98" s="2"/>
      <c r="K98" s="42"/>
      <c r="L98" s="11"/>
    </row>
    <row r="99" spans="2:12">
      <c r="D99" s="1"/>
      <c r="E99" s="1"/>
      <c r="F99" s="1"/>
      <c r="H99" s="2"/>
      <c r="K99" s="11"/>
      <c r="L99" s="11"/>
    </row>
    <row r="100" spans="2:12">
      <c r="D100" s="1"/>
      <c r="E100" s="59"/>
      <c r="F100" s="60"/>
      <c r="G100" s="62"/>
      <c r="H100" s="61"/>
      <c r="K100" s="11"/>
      <c r="L100" s="11"/>
    </row>
    <row r="101" spans="2:12">
      <c r="D101" s="1"/>
      <c r="H101" s="2"/>
      <c r="J101" s="1"/>
      <c r="K101" s="11"/>
      <c r="L101" s="11"/>
    </row>
    <row r="102" spans="2:12">
      <c r="B102" s="6" t="s">
        <v>0</v>
      </c>
      <c r="D102" s="1"/>
      <c r="E102" s="59"/>
      <c r="F102" s="60"/>
      <c r="G102" s="62"/>
      <c r="H102" s="61"/>
      <c r="K102" s="11"/>
      <c r="L102" s="11"/>
    </row>
    <row r="103" spans="2:12">
      <c r="E103" s="9"/>
      <c r="F103" s="11"/>
      <c r="G103" s="15"/>
      <c r="H103" s="7"/>
      <c r="I103" s="18"/>
      <c r="J103" s="10"/>
      <c r="K103" s="11"/>
      <c r="L103" s="11"/>
    </row>
    <row r="104" spans="2:12">
      <c r="E104" s="9"/>
      <c r="F104" s="11"/>
      <c r="G104" s="15"/>
      <c r="H104" s="7"/>
      <c r="I104" s="18"/>
      <c r="J104" s="10"/>
      <c r="K104" s="11"/>
      <c r="L104" s="11"/>
    </row>
    <row r="105" spans="2:12">
      <c r="E105" s="9"/>
      <c r="F105" s="11"/>
      <c r="G105" s="15"/>
      <c r="H105" s="7"/>
      <c r="I105" s="18"/>
      <c r="J105" s="10"/>
      <c r="K105" s="11"/>
      <c r="L105" s="11"/>
    </row>
    <row r="106" spans="2:12">
      <c r="E106" s="9"/>
      <c r="F106" s="11"/>
      <c r="G106" s="15"/>
      <c r="H106" s="7"/>
      <c r="I106" s="18"/>
      <c r="J106" s="10"/>
      <c r="K106" s="11"/>
      <c r="L106" s="11"/>
    </row>
    <row r="107" spans="2:12">
      <c r="E107" s="9"/>
      <c r="F107" s="11"/>
      <c r="G107" s="15"/>
      <c r="H107" s="7"/>
      <c r="I107" s="18"/>
      <c r="J107" s="10"/>
      <c r="K107" s="11"/>
      <c r="L107" s="11"/>
    </row>
    <row r="108" spans="2:12">
      <c r="E108" s="9"/>
      <c r="F108" s="11"/>
      <c r="G108" s="15"/>
      <c r="H108" s="7"/>
      <c r="I108" s="18"/>
      <c r="J108" s="10"/>
      <c r="K108" s="11"/>
      <c r="L108" s="11"/>
    </row>
    <row r="109" spans="2:12">
      <c r="E109" s="9"/>
      <c r="F109" s="11"/>
      <c r="G109" s="15"/>
      <c r="H109" s="7"/>
      <c r="I109" s="18"/>
      <c r="J109" s="10"/>
      <c r="K109" s="11"/>
      <c r="L109" s="11"/>
    </row>
    <row r="110" spans="2:12">
      <c r="E110" s="9"/>
      <c r="F110" s="11"/>
      <c r="G110" s="15"/>
      <c r="H110" s="7"/>
      <c r="I110" s="18"/>
      <c r="J110" s="10"/>
      <c r="K110" s="11"/>
      <c r="L110" s="11"/>
    </row>
    <row r="111" spans="2:12">
      <c r="E111" s="9"/>
      <c r="F111" s="11"/>
      <c r="G111" s="15"/>
      <c r="H111" s="7"/>
      <c r="I111" s="18"/>
      <c r="J111" s="10"/>
      <c r="K111" s="11"/>
      <c r="L111" s="11"/>
    </row>
    <row r="112" spans="2:12">
      <c r="E112" s="9"/>
      <c r="F112" s="11"/>
      <c r="G112" s="15"/>
      <c r="H112" s="7"/>
      <c r="I112" s="18"/>
      <c r="J112" s="10"/>
      <c r="K112" s="11"/>
      <c r="L112" s="11"/>
    </row>
    <row r="113" spans="5:12">
      <c r="E113" s="9"/>
      <c r="F113" s="11"/>
      <c r="G113" s="15"/>
      <c r="H113" s="7"/>
      <c r="I113" s="18"/>
      <c r="J113" s="10"/>
      <c r="K113" s="11"/>
      <c r="L113" s="11"/>
    </row>
    <row r="114" spans="5:12">
      <c r="E114" s="9"/>
      <c r="F114" s="11"/>
      <c r="G114" s="15"/>
      <c r="H114" s="7"/>
      <c r="I114" s="18"/>
      <c r="J114" s="10"/>
      <c r="K114" s="11"/>
      <c r="L114" s="11"/>
    </row>
    <row r="115" spans="5:12">
      <c r="E115" s="9"/>
      <c r="F115" s="11"/>
      <c r="G115" s="15"/>
      <c r="H115" s="7"/>
      <c r="I115" s="18"/>
      <c r="J115" s="10"/>
      <c r="K115" s="11"/>
      <c r="L115" s="11"/>
    </row>
    <row r="116" spans="5:12">
      <c r="E116" s="9"/>
      <c r="F116" s="11"/>
      <c r="G116" s="15"/>
      <c r="H116" s="7"/>
      <c r="I116" s="18"/>
      <c r="J116" s="10"/>
      <c r="K116" s="11"/>
      <c r="L116" s="11"/>
    </row>
    <row r="117" spans="5:12">
      <c r="E117" s="9"/>
      <c r="F117" s="11"/>
      <c r="G117" s="15"/>
      <c r="H117" s="7"/>
      <c r="I117" s="18"/>
      <c r="J117" s="10"/>
      <c r="K117" s="11"/>
      <c r="L117" s="11"/>
    </row>
    <row r="118" spans="5:12">
      <c r="E118" s="9"/>
      <c r="F118" s="11"/>
      <c r="G118" s="15"/>
      <c r="H118" s="7"/>
      <c r="I118" s="18"/>
      <c r="J118" s="10"/>
      <c r="K118" s="11"/>
      <c r="L118" s="11"/>
    </row>
    <row r="119" spans="5:12">
      <c r="E119" s="9"/>
      <c r="F119" s="11"/>
      <c r="G119" s="15"/>
      <c r="H119" s="7"/>
      <c r="I119" s="18"/>
      <c r="J119" s="10"/>
      <c r="K119" s="11"/>
      <c r="L119" s="11"/>
    </row>
    <row r="120" spans="5:12">
      <c r="E120" s="9"/>
      <c r="F120" s="11"/>
      <c r="G120" s="15"/>
      <c r="H120" s="7"/>
      <c r="I120" s="18"/>
      <c r="J120" s="10"/>
      <c r="K120" s="11"/>
      <c r="L120" s="11"/>
    </row>
    <row r="121" spans="5:12">
      <c r="E121" s="9"/>
      <c r="F121" s="11"/>
      <c r="G121" s="15"/>
      <c r="H121" s="7"/>
      <c r="I121" s="18"/>
      <c r="J121" s="10"/>
      <c r="K121" s="11"/>
      <c r="L121" s="11"/>
    </row>
    <row r="122" spans="5:12">
      <c r="E122" s="9"/>
      <c r="F122" s="11"/>
      <c r="G122" s="15"/>
      <c r="H122" s="7"/>
      <c r="I122" s="18"/>
      <c r="J122" s="10"/>
      <c r="K122" s="11"/>
      <c r="L122" s="11"/>
    </row>
    <row r="123" spans="5:12">
      <c r="E123" s="9"/>
      <c r="F123" s="11"/>
      <c r="G123" s="15"/>
      <c r="H123" s="7"/>
      <c r="I123" s="18"/>
      <c r="J123" s="10"/>
      <c r="K123" s="11"/>
      <c r="L123" s="11"/>
    </row>
    <row r="124" spans="5:12">
      <c r="E124" s="9"/>
      <c r="F124" s="11"/>
      <c r="G124" s="15"/>
      <c r="H124" s="7"/>
      <c r="I124" s="18"/>
      <c r="J124" s="10"/>
      <c r="K124" s="11"/>
      <c r="L124" s="11"/>
    </row>
    <row r="125" spans="5:12">
      <c r="E125" s="9"/>
      <c r="F125" s="11"/>
      <c r="G125" s="15"/>
      <c r="H125" s="7"/>
      <c r="I125" s="18"/>
      <c r="J125" s="10"/>
      <c r="K125" s="11"/>
      <c r="L125" s="11"/>
    </row>
    <row r="126" spans="5:12">
      <c r="E126" s="9"/>
      <c r="F126" s="11"/>
      <c r="G126" s="15"/>
      <c r="H126" s="7"/>
      <c r="I126" s="18"/>
      <c r="J126" s="10"/>
      <c r="K126" s="11"/>
      <c r="L126" s="11"/>
    </row>
    <row r="127" spans="5:12">
      <c r="E127" s="9"/>
      <c r="F127" s="11"/>
      <c r="G127" s="15"/>
      <c r="H127" s="7"/>
      <c r="I127" s="18"/>
      <c r="J127" s="10"/>
      <c r="K127" s="11"/>
      <c r="L127" s="11"/>
    </row>
    <row r="128" spans="5:12">
      <c r="E128" s="9"/>
      <c r="F128" s="11"/>
      <c r="G128" s="15"/>
      <c r="H128" s="7"/>
      <c r="I128" s="18"/>
      <c r="J128" s="10"/>
      <c r="K128" s="11"/>
      <c r="L128" s="11"/>
    </row>
    <row r="129" spans="5:27">
      <c r="E129" s="9"/>
      <c r="F129" s="11"/>
      <c r="G129" s="15"/>
      <c r="H129" s="7"/>
      <c r="I129" s="18"/>
      <c r="J129" s="10"/>
      <c r="K129" s="11"/>
      <c r="L129" s="11"/>
    </row>
    <row r="130" spans="5:27">
      <c r="E130" s="9"/>
      <c r="F130" s="11"/>
      <c r="G130" s="15"/>
      <c r="H130" s="7"/>
      <c r="I130" s="18"/>
      <c r="J130" s="10"/>
      <c r="K130" s="11"/>
      <c r="L130" s="11"/>
    </row>
    <row r="131" spans="5:27">
      <c r="E131" s="9"/>
      <c r="F131" s="11"/>
      <c r="G131" s="15"/>
      <c r="H131" s="7"/>
      <c r="I131" s="18"/>
      <c r="J131" s="10"/>
      <c r="K131" s="11"/>
      <c r="L131" s="11"/>
    </row>
    <row r="132" spans="5:27">
      <c r="E132" s="9"/>
      <c r="F132" s="11"/>
      <c r="G132" s="15"/>
      <c r="H132" s="7"/>
      <c r="I132" s="18"/>
      <c r="J132" s="10"/>
      <c r="K132" s="11"/>
      <c r="L132" s="11"/>
    </row>
    <row r="133" spans="5:27">
      <c r="E133" s="9"/>
      <c r="F133" s="11"/>
      <c r="G133" s="15"/>
      <c r="H133" s="7"/>
      <c r="I133" s="18"/>
      <c r="J133" s="10"/>
      <c r="K133" s="11"/>
      <c r="L133" s="11"/>
    </row>
    <row r="134" spans="5:27">
      <c r="E134" s="9"/>
      <c r="F134" s="11"/>
      <c r="G134" s="15"/>
      <c r="H134" s="7"/>
      <c r="I134" s="18"/>
      <c r="J134" s="10"/>
      <c r="K134" s="11"/>
      <c r="L134" s="11"/>
    </row>
    <row r="135" spans="5:27">
      <c r="E135" s="9"/>
      <c r="F135" s="11"/>
      <c r="G135" s="15"/>
      <c r="H135" s="7"/>
      <c r="I135" s="18"/>
      <c r="J135" s="10"/>
      <c r="K135" s="11"/>
      <c r="L135" s="11"/>
    </row>
    <row r="136" spans="5:27">
      <c r="E136" s="9"/>
      <c r="F136" s="11"/>
      <c r="G136" s="15"/>
      <c r="H136" s="7"/>
      <c r="I136" s="18"/>
      <c r="J136" s="10"/>
      <c r="K136" s="11"/>
      <c r="L136" s="11"/>
    </row>
    <row r="137" spans="5:27">
      <c r="E137" s="9"/>
      <c r="F137" s="11"/>
      <c r="G137" s="15"/>
      <c r="H137" s="7"/>
      <c r="I137" s="18"/>
      <c r="J137" s="10"/>
      <c r="K137" s="11"/>
      <c r="L137" s="11"/>
    </row>
    <row r="138" spans="5:27">
      <c r="E138" s="9"/>
      <c r="F138" s="11"/>
      <c r="G138" s="15"/>
      <c r="H138" s="7"/>
      <c r="I138" s="18"/>
      <c r="J138" s="10"/>
      <c r="K138" s="11"/>
      <c r="L138" s="11"/>
    </row>
    <row r="139" spans="5:27">
      <c r="E139" s="9"/>
      <c r="F139" s="11"/>
      <c r="G139" s="15"/>
      <c r="H139" s="7"/>
      <c r="I139" s="18"/>
      <c r="J139" s="10"/>
      <c r="K139" s="11"/>
      <c r="L139" s="11"/>
    </row>
    <row r="140" spans="5:27">
      <c r="E140" s="9"/>
      <c r="F140" s="11"/>
      <c r="G140" s="15"/>
      <c r="H140" s="7"/>
      <c r="I140" s="18"/>
      <c r="J140" s="10"/>
      <c r="K140" s="11"/>
      <c r="L140" s="11"/>
    </row>
    <row r="141" spans="5:27">
      <c r="E141" s="9"/>
      <c r="F141" s="11"/>
      <c r="G141" s="15"/>
      <c r="H141" s="7"/>
      <c r="I141" s="18"/>
      <c r="J141" s="10"/>
      <c r="K141" s="11"/>
      <c r="L141" s="11"/>
    </row>
    <row r="142" spans="5:27">
      <c r="E142" s="9"/>
      <c r="F142" s="11"/>
      <c r="G142" s="15"/>
      <c r="H142" s="7"/>
      <c r="I142" s="18"/>
      <c r="J142" s="10"/>
      <c r="K142" s="11"/>
      <c r="L142" s="11"/>
    </row>
    <row r="143" spans="5:27">
      <c r="E143" s="9"/>
      <c r="F143" s="11"/>
      <c r="G143" s="15"/>
      <c r="H143" s="7"/>
      <c r="I143" s="18"/>
      <c r="J143" s="10"/>
    </row>
    <row r="144" spans="5:27" s="6" customFormat="1">
      <c r="E144" s="9"/>
      <c r="F144" s="11"/>
      <c r="G144" s="15"/>
      <c r="H144" s="7"/>
      <c r="I144" s="18"/>
      <c r="J144" s="10"/>
      <c r="K144" s="11"/>
      <c r="L144" s="11"/>
      <c r="AA144" s="1"/>
    </row>
    <row r="145" spans="5:27" s="6" customFormat="1">
      <c r="E145" s="9"/>
      <c r="F145" s="11"/>
      <c r="G145" s="15"/>
      <c r="H145" s="7"/>
      <c r="I145" s="18"/>
      <c r="J145" s="10"/>
      <c r="K145" s="11"/>
      <c r="L145" s="11"/>
      <c r="AA145" s="1"/>
    </row>
    <row r="146" spans="5:27" s="6" customFormat="1">
      <c r="E146" s="9"/>
      <c r="F146" s="11"/>
      <c r="G146" s="15"/>
      <c r="H146" s="7"/>
      <c r="I146" s="18"/>
      <c r="J146" s="10"/>
      <c r="K146" s="11"/>
      <c r="L146" s="11"/>
      <c r="AA146" s="1"/>
    </row>
    <row r="147" spans="5:27" s="6" customFormat="1">
      <c r="E147" s="9"/>
      <c r="F147" s="11"/>
      <c r="G147" s="15"/>
      <c r="H147" s="7"/>
      <c r="I147" s="18"/>
      <c r="J147" s="10"/>
      <c r="K147" s="11"/>
      <c r="L147" s="11"/>
      <c r="AA147" s="1"/>
    </row>
    <row r="148" spans="5:27" s="6" customFormat="1">
      <c r="E148" s="9"/>
      <c r="F148" s="11"/>
      <c r="G148" s="15"/>
      <c r="H148" s="7"/>
      <c r="I148" s="18"/>
      <c r="J148" s="10"/>
      <c r="K148" s="11"/>
      <c r="L148" s="11"/>
      <c r="AA148" s="1"/>
    </row>
    <row r="149" spans="5:27" s="6" customFormat="1">
      <c r="E149" s="9"/>
      <c r="F149" s="11"/>
      <c r="G149" s="15"/>
      <c r="H149" s="7"/>
      <c r="I149" s="18"/>
      <c r="J149" s="10"/>
      <c r="K149" s="11"/>
      <c r="L149" s="11"/>
      <c r="AA149" s="1"/>
    </row>
    <row r="150" spans="5:27" s="6" customFormat="1">
      <c r="E150" s="9"/>
      <c r="F150" s="11"/>
      <c r="G150" s="15"/>
      <c r="H150" s="7"/>
      <c r="I150" s="18"/>
      <c r="J150" s="10"/>
      <c r="K150" s="11"/>
      <c r="L150" s="11"/>
      <c r="AA150" s="1"/>
    </row>
    <row r="151" spans="5:27" s="6" customFormat="1">
      <c r="E151" s="9"/>
      <c r="F151" s="11"/>
      <c r="G151" s="15"/>
      <c r="H151" s="7"/>
      <c r="I151" s="18"/>
      <c r="J151" s="10"/>
      <c r="K151" s="11"/>
      <c r="L151" s="11"/>
      <c r="AA151" s="1"/>
    </row>
    <row r="152" spans="5:27" s="6" customFormat="1">
      <c r="E152" s="9"/>
      <c r="F152" s="11"/>
      <c r="G152" s="15"/>
      <c r="H152" s="7"/>
      <c r="I152" s="18"/>
      <c r="J152" s="10"/>
      <c r="K152" s="11"/>
      <c r="L152" s="11"/>
      <c r="AA152" s="1"/>
    </row>
    <row r="153" spans="5:27" s="6" customFormat="1">
      <c r="E153" s="9"/>
      <c r="F153" s="11"/>
      <c r="G153" s="15"/>
      <c r="H153" s="7"/>
      <c r="I153" s="18"/>
      <c r="J153" s="10"/>
      <c r="K153" s="11"/>
      <c r="L153" s="11"/>
      <c r="AA153" s="1"/>
    </row>
    <row r="154" spans="5:27" s="6" customFormat="1">
      <c r="E154" s="9"/>
      <c r="F154" s="11"/>
      <c r="G154" s="15"/>
      <c r="H154" s="7"/>
      <c r="I154" s="18"/>
      <c r="J154" s="10"/>
      <c r="K154" s="11"/>
      <c r="L154" s="11"/>
      <c r="AA154" s="1"/>
    </row>
    <row r="155" spans="5:27" s="6" customFormat="1">
      <c r="E155" s="9"/>
      <c r="F155" s="11"/>
      <c r="G155" s="15"/>
      <c r="H155" s="7"/>
      <c r="I155" s="18"/>
      <c r="J155" s="10"/>
      <c r="K155" s="11"/>
      <c r="L155" s="11"/>
      <c r="AA155" s="1"/>
    </row>
    <row r="156" spans="5:27" s="6" customFormat="1">
      <c r="E156" s="9"/>
      <c r="F156" s="11"/>
      <c r="G156" s="15"/>
      <c r="H156" s="7"/>
      <c r="I156" s="18"/>
      <c r="J156" s="10"/>
      <c r="K156" s="11"/>
      <c r="L156" s="11"/>
      <c r="AA156" s="1"/>
    </row>
    <row r="157" spans="5:27" s="6" customFormat="1">
      <c r="E157" s="9"/>
      <c r="F157" s="11"/>
      <c r="G157" s="15"/>
      <c r="H157" s="7"/>
      <c r="I157" s="18"/>
      <c r="J157" s="10"/>
      <c r="K157" s="11"/>
      <c r="L157" s="11"/>
      <c r="AA157" s="1"/>
    </row>
    <row r="158" spans="5:27" s="6" customFormat="1">
      <c r="E158" s="9"/>
      <c r="F158" s="11"/>
      <c r="G158" s="15"/>
      <c r="H158" s="7"/>
      <c r="I158" s="18"/>
      <c r="J158" s="10"/>
      <c r="K158" s="11"/>
      <c r="L158" s="11"/>
      <c r="AA158" s="1"/>
    </row>
    <row r="159" spans="5:27" s="6" customFormat="1">
      <c r="E159" s="9"/>
      <c r="F159" s="11"/>
      <c r="G159" s="15"/>
      <c r="H159" s="7"/>
      <c r="I159" s="18"/>
      <c r="J159" s="10"/>
      <c r="K159" s="11"/>
      <c r="L159" s="11"/>
      <c r="AA159" s="1"/>
    </row>
    <row r="160" spans="5:27" s="6" customFormat="1">
      <c r="E160" s="9"/>
      <c r="F160" s="11"/>
      <c r="G160" s="15"/>
      <c r="H160" s="7"/>
      <c r="I160" s="18"/>
      <c r="J160" s="10"/>
      <c r="K160" s="11"/>
      <c r="L160" s="11"/>
      <c r="AA160" s="1"/>
    </row>
    <row r="161" spans="5:27" s="6" customFormat="1">
      <c r="E161" s="9"/>
      <c r="F161" s="11"/>
      <c r="G161" s="15"/>
      <c r="H161" s="7"/>
      <c r="I161" s="18"/>
      <c r="J161" s="10"/>
      <c r="K161" s="11"/>
      <c r="L161" s="11"/>
      <c r="AA161" s="1"/>
    </row>
    <row r="162" spans="5:27" s="6" customFormat="1">
      <c r="E162" s="9"/>
      <c r="F162" s="11"/>
      <c r="G162" s="15"/>
      <c r="H162" s="7"/>
      <c r="I162" s="18"/>
      <c r="J162" s="10"/>
      <c r="K162" s="11"/>
      <c r="L162" s="11"/>
      <c r="AA162" s="1"/>
    </row>
    <row r="163" spans="5:27" s="6" customFormat="1">
      <c r="E163" s="9"/>
      <c r="F163" s="11"/>
      <c r="G163" s="15"/>
      <c r="H163" s="7"/>
      <c r="I163" s="18"/>
      <c r="J163" s="10"/>
      <c r="K163" s="11"/>
      <c r="L163" s="11"/>
      <c r="AA163" s="1"/>
    </row>
    <row r="164" spans="5:27" s="6" customFormat="1">
      <c r="E164" s="9"/>
      <c r="F164" s="11"/>
      <c r="G164" s="15"/>
      <c r="H164" s="7"/>
      <c r="I164" s="18"/>
      <c r="J164" s="10"/>
      <c r="K164" s="11"/>
      <c r="L164" s="11"/>
      <c r="AA164" s="1"/>
    </row>
    <row r="165" spans="5:27" s="6" customFormat="1">
      <c r="E165" s="9"/>
      <c r="F165" s="11"/>
      <c r="G165" s="15"/>
      <c r="H165" s="7"/>
      <c r="I165" s="18"/>
      <c r="J165" s="10"/>
      <c r="K165" s="11"/>
      <c r="L165" s="11"/>
      <c r="AA165" s="1"/>
    </row>
    <row r="166" spans="5:27" s="6" customFormat="1">
      <c r="E166" s="9"/>
      <c r="F166" s="11"/>
      <c r="G166" s="15"/>
      <c r="H166" s="7"/>
      <c r="I166" s="18"/>
      <c r="J166" s="10"/>
      <c r="K166" s="11"/>
      <c r="L166" s="11"/>
      <c r="AA166" s="1"/>
    </row>
    <row r="167" spans="5:27" s="6" customFormat="1">
      <c r="E167" s="9"/>
      <c r="F167" s="11"/>
      <c r="G167" s="15"/>
      <c r="H167" s="7"/>
      <c r="I167" s="18"/>
      <c r="J167" s="10"/>
      <c r="K167" s="11"/>
      <c r="L167" s="11"/>
      <c r="AA167" s="1"/>
    </row>
    <row r="168" spans="5:27" s="6" customFormat="1">
      <c r="E168" s="9"/>
      <c r="F168" s="11"/>
      <c r="G168" s="15"/>
      <c r="H168" s="7"/>
      <c r="I168" s="18"/>
      <c r="J168" s="10"/>
      <c r="K168" s="11"/>
      <c r="L168" s="11"/>
      <c r="AA168" s="1"/>
    </row>
    <row r="169" spans="5:27" s="6" customFormat="1">
      <c r="E169" s="9"/>
      <c r="F169" s="11"/>
      <c r="G169" s="15"/>
      <c r="H169" s="7"/>
      <c r="I169" s="18"/>
      <c r="J169" s="10"/>
      <c r="K169" s="11"/>
      <c r="L169" s="11"/>
      <c r="AA169" s="1"/>
    </row>
    <row r="170" spans="5:27" s="6" customFormat="1">
      <c r="E170" s="9"/>
      <c r="F170" s="11"/>
      <c r="G170" s="15"/>
      <c r="H170" s="7"/>
      <c r="I170" s="18"/>
      <c r="J170" s="10"/>
      <c r="K170" s="11"/>
      <c r="L170" s="11"/>
      <c r="AA170" s="1"/>
    </row>
    <row r="171" spans="5:27" s="6" customFormat="1">
      <c r="E171" s="9"/>
      <c r="F171" s="11"/>
      <c r="G171" s="15"/>
      <c r="H171" s="7"/>
      <c r="I171" s="18"/>
      <c r="J171" s="10"/>
      <c r="K171" s="11"/>
      <c r="L171" s="11"/>
      <c r="AA171" s="1"/>
    </row>
    <row r="172" spans="5:27" s="6" customFormat="1">
      <c r="E172" s="9"/>
      <c r="F172" s="11"/>
      <c r="G172" s="15"/>
      <c r="H172" s="7"/>
      <c r="I172" s="18"/>
      <c r="J172" s="10"/>
      <c r="K172" s="11"/>
      <c r="L172" s="11"/>
      <c r="AA172" s="1"/>
    </row>
    <row r="173" spans="5:27" s="6" customFormat="1">
      <c r="E173" s="9"/>
      <c r="F173" s="11"/>
      <c r="G173" s="15"/>
      <c r="H173" s="7"/>
      <c r="I173" s="18"/>
      <c r="J173" s="10"/>
      <c r="K173" s="11"/>
      <c r="L173" s="11"/>
      <c r="AA173" s="1"/>
    </row>
    <row r="174" spans="5:27" s="6" customFormat="1">
      <c r="E174" s="9"/>
      <c r="F174" s="11"/>
      <c r="G174" s="15"/>
      <c r="H174" s="7"/>
      <c r="I174" s="18"/>
      <c r="J174" s="10"/>
      <c r="K174" s="11"/>
      <c r="L174" s="11"/>
      <c r="AA174" s="1"/>
    </row>
    <row r="175" spans="5:27" s="6" customFormat="1">
      <c r="E175" s="9"/>
      <c r="F175" s="11"/>
      <c r="G175" s="15"/>
      <c r="H175" s="7"/>
      <c r="I175" s="18"/>
      <c r="J175" s="10"/>
      <c r="K175" s="11"/>
      <c r="L175" s="11"/>
      <c r="AA175" s="1"/>
    </row>
    <row r="176" spans="5:27" s="6" customFormat="1">
      <c r="E176" s="9"/>
      <c r="F176" s="11"/>
      <c r="G176" s="15"/>
      <c r="H176" s="7"/>
      <c r="I176" s="18"/>
      <c r="J176" s="10"/>
      <c r="K176" s="11"/>
      <c r="L176" s="11"/>
      <c r="AA176" s="1"/>
    </row>
    <row r="177" spans="5:27" s="6" customFormat="1">
      <c r="E177" s="9"/>
      <c r="F177" s="11"/>
      <c r="G177" s="15"/>
      <c r="H177" s="7"/>
      <c r="I177" s="18"/>
      <c r="J177" s="10"/>
      <c r="K177" s="11"/>
      <c r="L177" s="11"/>
      <c r="AA177" s="1"/>
    </row>
    <row r="178" spans="5:27" s="6" customFormat="1">
      <c r="E178" s="9"/>
      <c r="F178" s="11"/>
      <c r="G178" s="15"/>
      <c r="H178" s="7"/>
      <c r="I178" s="18"/>
      <c r="J178" s="10"/>
      <c r="K178" s="11"/>
      <c r="L178" s="11"/>
      <c r="AA178" s="1"/>
    </row>
    <row r="179" spans="5:27" s="6" customFormat="1">
      <c r="E179" s="9"/>
      <c r="F179" s="11"/>
      <c r="G179" s="15"/>
      <c r="H179" s="7"/>
      <c r="I179" s="18"/>
      <c r="J179" s="10"/>
      <c r="K179" s="11"/>
      <c r="L179" s="11"/>
      <c r="AA179" s="1"/>
    </row>
    <row r="180" spans="5:27" s="6" customFormat="1">
      <c r="E180" s="9"/>
      <c r="F180" s="11"/>
      <c r="G180" s="15"/>
      <c r="H180" s="7"/>
      <c r="I180" s="18"/>
      <c r="J180" s="10"/>
      <c r="K180" s="11"/>
      <c r="L180" s="11"/>
      <c r="AA180" s="1"/>
    </row>
    <row r="181" spans="5:27" s="6" customFormat="1">
      <c r="E181" s="9"/>
      <c r="F181" s="11"/>
      <c r="G181" s="15"/>
      <c r="H181" s="7"/>
      <c r="I181" s="18"/>
      <c r="J181" s="10"/>
      <c r="K181" s="11"/>
      <c r="L181" s="11"/>
      <c r="AA181" s="1"/>
    </row>
    <row r="182" spans="5:27" s="6" customFormat="1">
      <c r="E182" s="9"/>
      <c r="F182" s="11"/>
      <c r="G182" s="15"/>
      <c r="H182" s="7"/>
      <c r="I182" s="18"/>
      <c r="J182" s="10"/>
      <c r="K182" s="11"/>
      <c r="L182" s="11"/>
      <c r="AA182" s="1"/>
    </row>
    <row r="183" spans="5:27" s="6" customFormat="1">
      <c r="E183" s="9"/>
      <c r="F183" s="11"/>
      <c r="G183" s="15"/>
      <c r="H183" s="7"/>
      <c r="I183" s="18"/>
      <c r="J183" s="10"/>
      <c r="K183" s="11"/>
      <c r="L183" s="11"/>
      <c r="AA183" s="1"/>
    </row>
    <row r="184" spans="5:27" s="6" customFormat="1">
      <c r="E184" s="9"/>
      <c r="F184" s="11"/>
      <c r="G184" s="15"/>
      <c r="H184" s="7"/>
      <c r="I184" s="18"/>
      <c r="J184" s="10"/>
      <c r="K184" s="11"/>
      <c r="L184" s="11"/>
      <c r="AA184" s="1"/>
    </row>
    <row r="185" spans="5:27" s="6" customFormat="1">
      <c r="E185" s="9"/>
      <c r="F185" s="11"/>
      <c r="G185" s="15"/>
      <c r="H185" s="7"/>
      <c r="I185" s="18"/>
      <c r="J185" s="10"/>
      <c r="K185" s="11"/>
      <c r="L185" s="11"/>
      <c r="AA185" s="1"/>
    </row>
    <row r="186" spans="5:27" s="6" customFormat="1">
      <c r="E186" s="9"/>
      <c r="F186" s="11"/>
      <c r="G186" s="15"/>
      <c r="H186" s="7"/>
      <c r="I186" s="18"/>
      <c r="J186" s="10"/>
      <c r="K186" s="11"/>
      <c r="L186" s="11"/>
      <c r="AA186" s="1"/>
    </row>
    <row r="187" spans="5:27" s="6" customFormat="1">
      <c r="E187" s="9"/>
      <c r="F187" s="11"/>
      <c r="G187" s="15"/>
      <c r="H187" s="7"/>
      <c r="I187" s="18"/>
      <c r="J187" s="10"/>
      <c r="K187" s="11"/>
      <c r="L187" s="11"/>
      <c r="AA187" s="1"/>
    </row>
    <row r="188" spans="5:27" s="6" customFormat="1">
      <c r="E188" s="9"/>
      <c r="F188" s="11"/>
      <c r="G188" s="15"/>
      <c r="H188" s="7"/>
      <c r="I188" s="18"/>
      <c r="J188" s="10"/>
      <c r="K188" s="11"/>
      <c r="L188" s="11"/>
      <c r="AA188" s="1"/>
    </row>
    <row r="189" spans="5:27" s="6" customFormat="1">
      <c r="E189" s="9"/>
      <c r="F189" s="11"/>
      <c r="G189" s="15"/>
      <c r="H189" s="7"/>
      <c r="I189" s="18"/>
      <c r="J189" s="10"/>
      <c r="K189" s="11"/>
      <c r="L189" s="11"/>
      <c r="AA189" s="1"/>
    </row>
    <row r="190" spans="5:27" s="6" customFormat="1">
      <c r="E190" s="9"/>
      <c r="F190" s="11"/>
      <c r="G190" s="15"/>
      <c r="H190" s="7"/>
      <c r="I190" s="18"/>
      <c r="J190" s="10"/>
      <c r="K190" s="11"/>
      <c r="L190" s="11"/>
      <c r="AA190" s="1"/>
    </row>
    <row r="191" spans="5:27" s="6" customFormat="1">
      <c r="E191" s="9"/>
      <c r="F191" s="11"/>
      <c r="G191" s="15"/>
      <c r="H191" s="7"/>
      <c r="I191" s="18"/>
      <c r="J191" s="10"/>
      <c r="K191" s="11"/>
      <c r="L191" s="11"/>
      <c r="AA191" s="1"/>
    </row>
    <row r="192" spans="5:27" s="6" customFormat="1">
      <c r="E192" s="9"/>
      <c r="F192" s="11"/>
      <c r="G192" s="15"/>
      <c r="H192" s="7"/>
      <c r="I192" s="18"/>
      <c r="J192" s="10"/>
      <c r="K192" s="11"/>
      <c r="L192" s="11"/>
      <c r="AA192" s="1"/>
    </row>
    <row r="193" spans="5:27" s="6" customFormat="1">
      <c r="E193" s="9"/>
      <c r="F193" s="11"/>
      <c r="G193" s="15"/>
      <c r="H193" s="7"/>
      <c r="I193" s="18"/>
      <c r="J193" s="10"/>
      <c r="K193" s="11"/>
      <c r="L193" s="11"/>
      <c r="AA193" s="1"/>
    </row>
    <row r="194" spans="5:27" s="6" customFormat="1">
      <c r="E194" s="9"/>
      <c r="F194" s="11"/>
      <c r="G194" s="15"/>
      <c r="H194" s="7"/>
      <c r="I194" s="18"/>
      <c r="J194" s="10"/>
      <c r="K194" s="11"/>
      <c r="L194" s="11"/>
      <c r="AA194" s="1"/>
    </row>
    <row r="195" spans="5:27" s="6" customFormat="1">
      <c r="E195" s="9"/>
      <c r="F195" s="11"/>
      <c r="G195" s="15"/>
      <c r="H195" s="7"/>
      <c r="I195" s="18"/>
      <c r="J195" s="10"/>
      <c r="K195" s="11"/>
      <c r="L195" s="11"/>
      <c r="AA195" s="1"/>
    </row>
    <row r="196" spans="5:27" s="6" customFormat="1">
      <c r="E196" s="9"/>
      <c r="F196" s="11"/>
      <c r="G196" s="15"/>
      <c r="H196" s="7"/>
      <c r="I196" s="18"/>
      <c r="J196" s="10"/>
      <c r="K196" s="11"/>
      <c r="L196" s="11"/>
      <c r="AA196" s="1"/>
    </row>
    <row r="197" spans="5:27" s="6" customFormat="1">
      <c r="E197" s="9"/>
      <c r="F197" s="11"/>
      <c r="G197" s="15"/>
      <c r="H197" s="7"/>
      <c r="I197" s="18"/>
      <c r="J197" s="10"/>
      <c r="K197" s="11"/>
      <c r="L197" s="11"/>
      <c r="AA197" s="1"/>
    </row>
    <row r="198" spans="5:27" s="6" customFormat="1">
      <c r="E198" s="9"/>
      <c r="F198" s="11"/>
      <c r="G198" s="15"/>
      <c r="H198" s="7"/>
      <c r="I198" s="18"/>
      <c r="J198" s="10"/>
      <c r="K198" s="11"/>
      <c r="L198" s="11"/>
      <c r="AA198" s="1"/>
    </row>
    <row r="199" spans="5:27" s="6" customFormat="1">
      <c r="E199" s="9"/>
      <c r="F199" s="11"/>
      <c r="G199" s="15"/>
      <c r="H199" s="7"/>
      <c r="I199" s="18"/>
      <c r="J199" s="10"/>
      <c r="K199" s="11"/>
      <c r="L199" s="11"/>
      <c r="AA199" s="1"/>
    </row>
    <row r="200" spans="5:27" s="6" customFormat="1">
      <c r="E200" s="9"/>
      <c r="F200" s="11"/>
      <c r="G200" s="15"/>
      <c r="H200" s="7"/>
      <c r="I200" s="18"/>
      <c r="J200" s="10"/>
      <c r="K200" s="11"/>
      <c r="L200" s="11"/>
      <c r="AA200" s="1"/>
    </row>
    <row r="201" spans="5:27" s="6" customFormat="1">
      <c r="E201" s="9"/>
      <c r="F201" s="11"/>
      <c r="G201" s="15"/>
      <c r="H201" s="7"/>
      <c r="I201" s="18"/>
      <c r="J201" s="10"/>
      <c r="K201" s="11"/>
      <c r="L201" s="11"/>
      <c r="AA201" s="1"/>
    </row>
    <row r="202" spans="5:27" s="6" customFormat="1">
      <c r="E202" s="9"/>
      <c r="F202" s="11"/>
      <c r="G202" s="15"/>
      <c r="H202" s="7"/>
      <c r="I202" s="18"/>
      <c r="J202" s="10"/>
      <c r="K202" s="11"/>
      <c r="L202" s="11"/>
      <c r="AA202" s="1"/>
    </row>
    <row r="203" spans="5:27" s="6" customFormat="1">
      <c r="E203" s="9"/>
      <c r="F203" s="11"/>
      <c r="G203" s="15"/>
      <c r="H203" s="7"/>
      <c r="I203" s="18"/>
      <c r="J203" s="10"/>
      <c r="K203" s="11"/>
      <c r="L203" s="11"/>
      <c r="AA203" s="1"/>
    </row>
    <row r="204" spans="5:27" s="6" customFormat="1">
      <c r="E204" s="9"/>
      <c r="F204" s="11"/>
      <c r="G204" s="15"/>
      <c r="H204" s="7"/>
      <c r="I204" s="18"/>
      <c r="J204" s="10"/>
      <c r="K204" s="11"/>
      <c r="L204" s="11"/>
      <c r="AA204" s="1"/>
    </row>
    <row r="205" spans="5:27" s="6" customFormat="1">
      <c r="E205" s="9"/>
      <c r="F205" s="11"/>
      <c r="G205" s="15"/>
      <c r="H205" s="7"/>
      <c r="I205" s="18"/>
      <c r="J205" s="10"/>
      <c r="K205" s="11"/>
      <c r="L205" s="11"/>
      <c r="AA205" s="1"/>
    </row>
    <row r="206" spans="5:27" s="6" customFormat="1">
      <c r="E206" s="9"/>
      <c r="F206" s="11"/>
      <c r="G206" s="15"/>
      <c r="H206" s="7"/>
      <c r="I206" s="18"/>
      <c r="J206" s="10"/>
      <c r="K206" s="11"/>
      <c r="L206" s="11"/>
      <c r="AA206" s="1"/>
    </row>
    <row r="207" spans="5:27" s="6" customFormat="1">
      <c r="E207" s="9"/>
      <c r="F207" s="11"/>
      <c r="G207" s="15"/>
      <c r="H207" s="7"/>
      <c r="I207" s="18"/>
      <c r="J207" s="10"/>
      <c r="K207" s="11"/>
      <c r="L207" s="11"/>
      <c r="AA207" s="1"/>
    </row>
    <row r="208" spans="5:27" s="6" customFormat="1">
      <c r="E208" s="9"/>
      <c r="F208" s="11"/>
      <c r="G208" s="15"/>
      <c r="H208" s="7"/>
      <c r="I208" s="18"/>
      <c r="J208" s="10"/>
      <c r="K208" s="11"/>
      <c r="L208" s="11"/>
      <c r="AA208" s="1"/>
    </row>
    <row r="209" spans="5:27" s="6" customFormat="1">
      <c r="E209" s="9"/>
      <c r="F209" s="11"/>
      <c r="G209" s="15"/>
      <c r="H209" s="7"/>
      <c r="I209" s="18"/>
      <c r="J209" s="10"/>
      <c r="K209" s="11"/>
      <c r="L209" s="11"/>
      <c r="AA209" s="1"/>
    </row>
    <row r="210" spans="5:27" s="6" customFormat="1">
      <c r="E210" s="9"/>
      <c r="F210" s="11"/>
      <c r="G210" s="15"/>
      <c r="H210" s="7"/>
      <c r="I210" s="18"/>
      <c r="J210" s="10"/>
      <c r="K210" s="11"/>
      <c r="L210" s="11"/>
      <c r="AA210" s="1"/>
    </row>
    <row r="211" spans="5:27" s="6" customFormat="1">
      <c r="E211" s="9"/>
      <c r="F211" s="11"/>
      <c r="G211" s="15"/>
      <c r="H211" s="7"/>
      <c r="I211" s="18"/>
      <c r="J211" s="10"/>
      <c r="K211" s="11"/>
      <c r="L211" s="11"/>
      <c r="AA211" s="1"/>
    </row>
    <row r="212" spans="5:27" s="6" customFormat="1">
      <c r="E212" s="9"/>
      <c r="F212" s="11"/>
      <c r="G212" s="15"/>
      <c r="H212" s="7"/>
      <c r="I212" s="18"/>
      <c r="J212" s="10"/>
      <c r="K212" s="11"/>
      <c r="L212" s="11"/>
      <c r="AA212" s="1"/>
    </row>
    <row r="213" spans="5:27" s="6" customFormat="1">
      <c r="E213" s="9"/>
      <c r="F213" s="11"/>
      <c r="G213" s="15"/>
      <c r="H213" s="7"/>
      <c r="I213" s="18"/>
      <c r="J213" s="10"/>
      <c r="K213" s="11"/>
      <c r="L213" s="11"/>
      <c r="AA213" s="1"/>
    </row>
    <row r="214" spans="5:27" s="6" customFormat="1">
      <c r="E214" s="9"/>
      <c r="F214" s="11"/>
      <c r="G214" s="15"/>
      <c r="H214" s="7"/>
      <c r="I214" s="18"/>
      <c r="J214" s="10"/>
      <c r="K214" s="11"/>
      <c r="L214" s="11"/>
      <c r="AA214" s="1"/>
    </row>
    <row r="215" spans="5:27" s="6" customFormat="1">
      <c r="E215" s="9"/>
      <c r="F215" s="11"/>
      <c r="G215" s="15"/>
      <c r="H215" s="7"/>
      <c r="I215" s="18"/>
      <c r="J215" s="10"/>
      <c r="K215" s="11"/>
      <c r="L215" s="11"/>
      <c r="AA215" s="1"/>
    </row>
    <row r="216" spans="5:27" s="6" customFormat="1">
      <c r="E216" s="9"/>
      <c r="F216" s="11"/>
      <c r="G216" s="15"/>
      <c r="H216" s="7"/>
      <c r="I216" s="18"/>
      <c r="J216" s="10"/>
      <c r="K216" s="11"/>
      <c r="L216" s="11"/>
      <c r="AA216" s="1"/>
    </row>
    <row r="217" spans="5:27" s="6" customFormat="1">
      <c r="E217" s="9"/>
      <c r="F217" s="11"/>
      <c r="G217" s="15"/>
      <c r="H217" s="7"/>
      <c r="I217" s="18"/>
      <c r="J217" s="10"/>
      <c r="K217" s="11"/>
      <c r="L217" s="11"/>
      <c r="AA217" s="1"/>
    </row>
    <row r="218" spans="5:27" s="6" customFormat="1">
      <c r="E218" s="9"/>
      <c r="F218" s="11"/>
      <c r="G218" s="15"/>
      <c r="H218" s="7"/>
      <c r="I218" s="18"/>
      <c r="J218" s="10"/>
      <c r="K218" s="11"/>
      <c r="L218" s="11"/>
      <c r="AA218" s="1"/>
    </row>
    <row r="219" spans="5:27" s="6" customFormat="1">
      <c r="E219" s="9"/>
      <c r="F219" s="11"/>
      <c r="G219" s="15"/>
      <c r="H219" s="7"/>
      <c r="I219" s="18"/>
      <c r="J219" s="10"/>
      <c r="K219" s="11"/>
      <c r="L219" s="11"/>
      <c r="AA219" s="1"/>
    </row>
    <row r="220" spans="5:27" s="6" customFormat="1">
      <c r="E220" s="9"/>
      <c r="F220" s="11"/>
      <c r="G220" s="15"/>
      <c r="H220" s="7"/>
      <c r="I220" s="18"/>
      <c r="J220" s="10"/>
      <c r="K220" s="11"/>
      <c r="L220" s="11"/>
      <c r="AA220" s="1"/>
    </row>
    <row r="221" spans="5:27" s="6" customFormat="1">
      <c r="E221" s="9"/>
      <c r="F221" s="11"/>
      <c r="G221" s="15"/>
      <c r="H221" s="7"/>
      <c r="I221" s="18"/>
      <c r="J221" s="10"/>
      <c r="K221" s="11"/>
      <c r="L221" s="11"/>
      <c r="AA221" s="1"/>
    </row>
    <row r="222" spans="5:27" s="6" customFormat="1">
      <c r="E222" s="9"/>
      <c r="F222" s="11"/>
      <c r="G222" s="15"/>
      <c r="H222" s="7"/>
      <c r="I222" s="18"/>
      <c r="J222" s="10"/>
      <c r="K222" s="11"/>
      <c r="L222" s="11"/>
      <c r="AA222" s="1"/>
    </row>
    <row r="223" spans="5:27" s="6" customFormat="1">
      <c r="E223" s="9"/>
      <c r="F223" s="11"/>
      <c r="G223" s="15"/>
      <c r="H223" s="7"/>
      <c r="I223" s="18"/>
      <c r="J223" s="10"/>
      <c r="K223" s="11"/>
      <c r="L223" s="11"/>
      <c r="AA223" s="1"/>
    </row>
    <row r="224" spans="5:27" s="6" customFormat="1">
      <c r="E224" s="9"/>
      <c r="F224" s="11"/>
      <c r="G224" s="15"/>
      <c r="H224" s="7"/>
      <c r="I224" s="18"/>
      <c r="J224" s="10"/>
      <c r="K224" s="11"/>
      <c r="L224" s="11"/>
      <c r="AA224" s="1"/>
    </row>
    <row r="225" spans="5:27" s="6" customFormat="1">
      <c r="E225" s="9"/>
      <c r="F225" s="11"/>
      <c r="G225" s="15"/>
      <c r="H225" s="7"/>
      <c r="I225" s="18"/>
      <c r="J225" s="10"/>
      <c r="K225" s="11"/>
      <c r="L225" s="11"/>
      <c r="AA225" s="1"/>
    </row>
    <row r="226" spans="5:27" s="6" customFormat="1">
      <c r="E226" s="9"/>
      <c r="F226" s="11"/>
      <c r="G226" s="15"/>
      <c r="H226" s="7"/>
      <c r="I226" s="18"/>
      <c r="J226" s="10"/>
      <c r="K226" s="11"/>
      <c r="L226" s="11"/>
      <c r="AA226" s="1"/>
    </row>
    <row r="227" spans="5:27" s="6" customFormat="1">
      <c r="E227" s="9"/>
      <c r="F227" s="11"/>
      <c r="G227" s="15"/>
      <c r="H227" s="7"/>
      <c r="I227" s="18"/>
      <c r="J227" s="10"/>
      <c r="K227" s="11"/>
      <c r="L227" s="11"/>
      <c r="AA227" s="1"/>
    </row>
    <row r="228" spans="5:27" s="6" customFormat="1">
      <c r="E228" s="9"/>
      <c r="F228" s="11"/>
      <c r="G228" s="15"/>
      <c r="H228" s="7"/>
      <c r="I228" s="18"/>
      <c r="J228" s="10"/>
      <c r="K228" s="11"/>
      <c r="L228" s="11"/>
      <c r="AA228" s="1"/>
    </row>
    <row r="229" spans="5:27" s="6" customFormat="1">
      <c r="E229" s="9"/>
      <c r="F229" s="11"/>
      <c r="G229" s="15"/>
      <c r="H229" s="7"/>
      <c r="I229" s="18"/>
      <c r="J229" s="10"/>
      <c r="K229" s="11"/>
      <c r="L229" s="11"/>
      <c r="AA229" s="1"/>
    </row>
    <row r="230" spans="5:27" s="6" customFormat="1">
      <c r="E230" s="9"/>
      <c r="F230" s="11"/>
      <c r="G230" s="15"/>
      <c r="H230" s="7"/>
      <c r="I230" s="18"/>
      <c r="J230" s="10"/>
      <c r="K230" s="11"/>
      <c r="L230" s="11"/>
      <c r="AA230" s="1"/>
    </row>
    <row r="231" spans="5:27" s="6" customFormat="1">
      <c r="E231" s="9"/>
      <c r="F231" s="11"/>
      <c r="G231" s="15"/>
      <c r="H231" s="7"/>
      <c r="I231" s="18"/>
      <c r="J231" s="10"/>
      <c r="K231" s="11"/>
      <c r="L231" s="11"/>
      <c r="AA231" s="1"/>
    </row>
    <row r="232" spans="5:27" s="6" customFormat="1">
      <c r="E232" s="9"/>
      <c r="F232" s="11"/>
      <c r="G232" s="15"/>
      <c r="H232" s="7"/>
      <c r="I232" s="18"/>
      <c r="J232" s="10"/>
      <c r="K232" s="11"/>
      <c r="L232" s="11"/>
      <c r="AA232" s="1"/>
    </row>
    <row r="233" spans="5:27" s="6" customFormat="1">
      <c r="E233" s="9"/>
      <c r="F233" s="11"/>
      <c r="G233" s="15"/>
      <c r="H233" s="7"/>
      <c r="I233" s="18"/>
      <c r="J233" s="10"/>
      <c r="K233" s="11"/>
      <c r="L233" s="11"/>
      <c r="AA233" s="1"/>
    </row>
    <row r="234" spans="5:27" s="6" customFormat="1">
      <c r="E234" s="9"/>
      <c r="F234" s="11"/>
      <c r="G234" s="15"/>
      <c r="H234" s="7"/>
      <c r="I234" s="18"/>
      <c r="J234" s="10"/>
      <c r="K234" s="11"/>
      <c r="L234" s="11"/>
      <c r="AA234" s="1"/>
    </row>
    <row r="235" spans="5:27" s="6" customFormat="1">
      <c r="E235" s="9"/>
      <c r="F235" s="11"/>
      <c r="G235" s="15"/>
      <c r="H235" s="7"/>
      <c r="I235" s="18"/>
      <c r="J235" s="10"/>
      <c r="K235" s="11"/>
      <c r="L235" s="11"/>
      <c r="AA235" s="1"/>
    </row>
    <row r="236" spans="5:27" s="6" customFormat="1">
      <c r="E236" s="9"/>
      <c r="F236" s="11"/>
      <c r="G236" s="15"/>
      <c r="H236" s="7"/>
      <c r="I236" s="18"/>
      <c r="J236" s="10"/>
      <c r="K236" s="11"/>
      <c r="L236" s="11"/>
      <c r="AA236" s="1"/>
    </row>
    <row r="237" spans="5:27" s="6" customFormat="1">
      <c r="E237" s="9"/>
      <c r="F237" s="11"/>
      <c r="G237" s="15"/>
      <c r="H237" s="7"/>
      <c r="I237" s="18"/>
      <c r="J237" s="10"/>
      <c r="K237" s="11"/>
      <c r="L237" s="11"/>
      <c r="AA237" s="1"/>
    </row>
    <row r="238" spans="5:27" s="6" customFormat="1">
      <c r="E238" s="9"/>
      <c r="F238" s="11"/>
      <c r="G238" s="15"/>
      <c r="H238" s="7"/>
      <c r="I238" s="18"/>
      <c r="J238" s="10"/>
      <c r="K238" s="11"/>
      <c r="L238" s="11"/>
      <c r="AA238" s="1"/>
    </row>
    <row r="239" spans="5:27" s="6" customFormat="1">
      <c r="E239" s="9"/>
      <c r="F239" s="11"/>
      <c r="G239" s="15"/>
      <c r="H239" s="7"/>
      <c r="I239" s="18"/>
      <c r="J239" s="10"/>
      <c r="K239" s="11"/>
      <c r="L239" s="11"/>
      <c r="AA239" s="1"/>
    </row>
    <row r="240" spans="5:27" s="6" customFormat="1">
      <c r="E240" s="9"/>
      <c r="F240" s="11"/>
      <c r="G240" s="15"/>
      <c r="H240" s="7"/>
      <c r="I240" s="18"/>
      <c r="J240" s="10"/>
      <c r="K240" s="11"/>
      <c r="L240" s="11"/>
      <c r="AA240" s="1"/>
    </row>
    <row r="241" spans="5:27" s="6" customFormat="1">
      <c r="E241" s="9"/>
      <c r="F241" s="11"/>
      <c r="G241" s="15"/>
      <c r="H241" s="7"/>
      <c r="I241" s="18"/>
      <c r="J241" s="10"/>
      <c r="K241" s="11"/>
      <c r="L241" s="11"/>
      <c r="AA241" s="1"/>
    </row>
    <row r="242" spans="5:27" s="6" customFormat="1">
      <c r="E242" s="9"/>
      <c r="F242" s="11"/>
      <c r="G242" s="15"/>
      <c r="H242" s="7"/>
      <c r="I242" s="18"/>
      <c r="J242" s="10"/>
      <c r="K242" s="11"/>
      <c r="L242" s="11"/>
      <c r="AA242" s="1"/>
    </row>
    <row r="243" spans="5:27" s="6" customFormat="1">
      <c r="E243" s="9"/>
      <c r="F243" s="11"/>
      <c r="G243" s="15"/>
      <c r="H243" s="7"/>
      <c r="I243" s="18"/>
      <c r="J243" s="10"/>
      <c r="K243" s="11"/>
      <c r="L243" s="11"/>
      <c r="AA243" s="1"/>
    </row>
    <row r="244" spans="5:27" s="6" customFormat="1">
      <c r="E244" s="9"/>
      <c r="F244" s="11"/>
      <c r="G244" s="15"/>
      <c r="H244" s="7"/>
      <c r="I244" s="18"/>
      <c r="J244" s="10"/>
      <c r="K244" s="11"/>
      <c r="L244" s="11"/>
      <c r="AA244" s="1"/>
    </row>
    <row r="245" spans="5:27" s="6" customFormat="1">
      <c r="E245" s="9"/>
      <c r="F245" s="11"/>
      <c r="G245" s="15"/>
      <c r="H245" s="7"/>
      <c r="I245" s="18"/>
      <c r="J245" s="10"/>
      <c r="K245" s="11"/>
      <c r="L245" s="11"/>
      <c r="AA245" s="1"/>
    </row>
    <row r="246" spans="5:27" s="6" customFormat="1">
      <c r="E246" s="9"/>
      <c r="F246" s="11"/>
      <c r="G246" s="15"/>
      <c r="H246" s="7"/>
      <c r="I246" s="18"/>
      <c r="J246" s="10"/>
      <c r="K246" s="11"/>
      <c r="L246" s="11"/>
      <c r="AA246" s="1"/>
    </row>
    <row r="247" spans="5:27" s="6" customFormat="1">
      <c r="E247" s="9"/>
      <c r="F247" s="11"/>
      <c r="G247" s="15"/>
      <c r="H247" s="7"/>
      <c r="I247" s="18"/>
      <c r="J247" s="10"/>
      <c r="K247" s="11"/>
      <c r="L247" s="11"/>
      <c r="AA247" s="1"/>
    </row>
    <row r="248" spans="5:27" s="6" customFormat="1">
      <c r="E248" s="9"/>
      <c r="F248" s="11"/>
      <c r="G248" s="15"/>
      <c r="H248" s="7"/>
      <c r="I248" s="18"/>
      <c r="J248" s="10"/>
      <c r="K248" s="11"/>
      <c r="L248" s="11"/>
      <c r="AA248" s="1"/>
    </row>
    <row r="249" spans="5:27" s="6" customFormat="1">
      <c r="E249" s="9"/>
      <c r="F249" s="11"/>
      <c r="G249" s="15"/>
      <c r="H249" s="7"/>
      <c r="I249" s="18"/>
      <c r="J249" s="10"/>
      <c r="K249" s="11"/>
      <c r="L249" s="11"/>
      <c r="AA249" s="1"/>
    </row>
    <row r="250" spans="5:27" s="6" customFormat="1">
      <c r="E250" s="9"/>
      <c r="F250" s="11"/>
      <c r="G250" s="15"/>
      <c r="H250" s="7"/>
      <c r="I250" s="18"/>
      <c r="J250" s="10"/>
      <c r="K250" s="11"/>
      <c r="L250" s="11"/>
      <c r="AA250" s="1"/>
    </row>
    <row r="251" spans="5:27" s="6" customFormat="1">
      <c r="E251" s="9"/>
      <c r="F251" s="11"/>
      <c r="G251" s="15"/>
      <c r="H251" s="7"/>
      <c r="I251" s="18"/>
      <c r="J251" s="10"/>
      <c r="K251" s="11"/>
      <c r="L251" s="11"/>
      <c r="AA251" s="1"/>
    </row>
    <row r="252" spans="5:27" s="6" customFormat="1">
      <c r="E252" s="9"/>
      <c r="F252" s="11"/>
      <c r="G252" s="15"/>
      <c r="H252" s="7"/>
      <c r="I252" s="18"/>
      <c r="J252" s="10"/>
      <c r="K252" s="11"/>
      <c r="L252" s="11"/>
      <c r="AA252" s="1"/>
    </row>
    <row r="253" spans="5:27" s="6" customFormat="1">
      <c r="E253" s="9"/>
      <c r="F253" s="11"/>
      <c r="G253" s="15"/>
      <c r="H253" s="7"/>
      <c r="I253" s="18"/>
      <c r="J253" s="10"/>
      <c r="K253" s="11"/>
      <c r="L253" s="11"/>
      <c r="AA253" s="1"/>
    </row>
    <row r="254" spans="5:27" s="6" customFormat="1">
      <c r="E254" s="9"/>
      <c r="F254" s="11"/>
      <c r="G254" s="15"/>
      <c r="H254" s="7"/>
      <c r="I254" s="18"/>
      <c r="J254" s="10"/>
      <c r="K254" s="11"/>
      <c r="L254" s="11"/>
      <c r="AA254" s="1"/>
    </row>
    <row r="255" spans="5:27" s="6" customFormat="1">
      <c r="E255" s="9"/>
      <c r="F255" s="11"/>
      <c r="G255" s="15"/>
      <c r="H255" s="7"/>
      <c r="I255" s="18"/>
      <c r="J255" s="10"/>
      <c r="K255" s="11"/>
      <c r="L255" s="11"/>
      <c r="AA255" s="1"/>
    </row>
    <row r="256" spans="5:27" s="6" customFormat="1">
      <c r="E256" s="9"/>
      <c r="F256" s="11"/>
      <c r="G256" s="15"/>
      <c r="H256" s="7"/>
      <c r="I256" s="18"/>
      <c r="J256" s="10"/>
      <c r="K256" s="11"/>
      <c r="L256" s="11"/>
      <c r="AA256" s="1"/>
    </row>
    <row r="257" spans="5:27" s="6" customFormat="1">
      <c r="E257" s="9"/>
      <c r="F257" s="11"/>
      <c r="G257" s="15"/>
      <c r="H257" s="7"/>
      <c r="I257" s="18"/>
      <c r="J257" s="10"/>
      <c r="K257" s="11"/>
      <c r="L257" s="11"/>
      <c r="AA257" s="1"/>
    </row>
    <row r="258" spans="5:27" s="6" customFormat="1">
      <c r="E258" s="9"/>
      <c r="F258" s="11"/>
      <c r="G258" s="15"/>
      <c r="H258" s="7"/>
      <c r="I258" s="18"/>
      <c r="J258" s="10"/>
      <c r="K258" s="11"/>
      <c r="L258" s="11"/>
      <c r="AA258" s="1"/>
    </row>
    <row r="259" spans="5:27" s="6" customFormat="1">
      <c r="E259" s="9"/>
      <c r="F259" s="11"/>
      <c r="G259" s="15"/>
      <c r="H259" s="7"/>
      <c r="I259" s="18"/>
      <c r="J259" s="10"/>
      <c r="K259" s="11"/>
      <c r="L259" s="11"/>
      <c r="AA259" s="1"/>
    </row>
    <row r="260" spans="5:27" s="6" customFormat="1">
      <c r="E260" s="9"/>
      <c r="F260" s="11"/>
      <c r="G260" s="15"/>
      <c r="H260" s="7"/>
      <c r="I260" s="18"/>
      <c r="J260" s="10"/>
      <c r="K260" s="11"/>
      <c r="L260" s="11"/>
      <c r="AA260" s="1"/>
    </row>
    <row r="261" spans="5:27" s="6" customFormat="1">
      <c r="E261" s="9"/>
      <c r="F261" s="11"/>
      <c r="G261" s="15"/>
      <c r="H261" s="7"/>
      <c r="I261" s="18"/>
      <c r="J261" s="10"/>
      <c r="K261" s="11"/>
      <c r="L261" s="11"/>
      <c r="AA261" s="1"/>
    </row>
    <row r="262" spans="5:27" s="6" customFormat="1">
      <c r="E262" s="9"/>
      <c r="F262" s="11"/>
      <c r="G262" s="15"/>
      <c r="H262" s="7"/>
      <c r="I262" s="18"/>
      <c r="J262" s="10"/>
      <c r="K262" s="11"/>
      <c r="L262" s="11"/>
      <c r="AA262" s="1"/>
    </row>
    <row r="263" spans="5:27" s="6" customFormat="1">
      <c r="E263" s="9"/>
      <c r="F263" s="11"/>
      <c r="G263" s="15"/>
      <c r="H263" s="7"/>
      <c r="I263" s="18"/>
      <c r="J263" s="10"/>
      <c r="K263" s="11"/>
      <c r="L263" s="11"/>
      <c r="AA263" s="1"/>
    </row>
    <row r="264" spans="5:27" s="6" customFormat="1">
      <c r="E264" s="9"/>
      <c r="F264" s="11"/>
      <c r="G264" s="15"/>
      <c r="H264" s="7"/>
      <c r="I264" s="18"/>
      <c r="J264" s="10"/>
      <c r="K264" s="11"/>
      <c r="L264" s="11"/>
      <c r="AA264" s="1"/>
    </row>
    <row r="265" spans="5:27" s="6" customFormat="1">
      <c r="E265" s="9"/>
      <c r="F265" s="11"/>
      <c r="G265" s="15"/>
      <c r="H265" s="7"/>
      <c r="I265" s="18"/>
      <c r="J265" s="10"/>
      <c r="K265" s="11"/>
      <c r="L265" s="11"/>
      <c r="AA265" s="1"/>
    </row>
    <row r="266" spans="5:27" s="6" customFormat="1">
      <c r="E266" s="9"/>
      <c r="F266" s="11"/>
      <c r="G266" s="15"/>
      <c r="H266" s="7"/>
      <c r="I266" s="18"/>
      <c r="J266" s="10"/>
      <c r="K266" s="11"/>
      <c r="L266" s="11"/>
      <c r="AA266" s="1"/>
    </row>
    <row r="267" spans="5:27" s="6" customFormat="1">
      <c r="E267" s="9"/>
      <c r="F267" s="11"/>
      <c r="G267" s="15"/>
      <c r="H267" s="7"/>
      <c r="I267" s="18"/>
      <c r="J267" s="10"/>
      <c r="K267" s="11"/>
      <c r="L267" s="11"/>
      <c r="AA267" s="1"/>
    </row>
    <row r="268" spans="5:27" s="6" customFormat="1">
      <c r="E268" s="9"/>
      <c r="F268" s="11"/>
      <c r="G268" s="15"/>
      <c r="H268" s="7"/>
      <c r="I268" s="18"/>
      <c r="J268" s="10"/>
      <c r="K268" s="11"/>
      <c r="L268" s="11"/>
      <c r="AA268" s="1"/>
    </row>
    <row r="269" spans="5:27" s="6" customFormat="1">
      <c r="E269" s="9"/>
      <c r="F269" s="11"/>
      <c r="G269" s="15"/>
      <c r="H269" s="7"/>
      <c r="I269" s="18"/>
      <c r="J269" s="10"/>
      <c r="K269" s="11"/>
      <c r="L269" s="11"/>
      <c r="AA269" s="1"/>
    </row>
    <row r="270" spans="5:27" s="6" customFormat="1">
      <c r="E270" s="9"/>
      <c r="F270" s="11"/>
      <c r="G270" s="15"/>
      <c r="H270" s="7"/>
      <c r="I270" s="18"/>
      <c r="J270" s="10"/>
      <c r="K270" s="11"/>
      <c r="L270" s="11"/>
      <c r="AA270" s="1"/>
    </row>
    <row r="271" spans="5:27" s="6" customFormat="1">
      <c r="E271" s="9"/>
      <c r="F271" s="11"/>
      <c r="G271" s="15"/>
      <c r="H271" s="7"/>
      <c r="I271" s="18"/>
      <c r="J271" s="10"/>
      <c r="K271" s="11"/>
      <c r="L271" s="11"/>
      <c r="AA271" s="1"/>
    </row>
    <row r="272" spans="5:27" s="6" customFormat="1">
      <c r="E272" s="9"/>
      <c r="F272" s="11"/>
      <c r="G272" s="15"/>
      <c r="H272" s="7"/>
      <c r="I272" s="18"/>
      <c r="J272" s="10"/>
      <c r="K272" s="11"/>
      <c r="L272" s="11"/>
      <c r="AA272" s="1"/>
    </row>
    <row r="273" spans="5:7">
      <c r="E273" s="9"/>
      <c r="F273" s="11"/>
      <c r="G273" s="15"/>
    </row>
    <row r="274" spans="5:7">
      <c r="E274" s="9"/>
      <c r="F274" s="11"/>
      <c r="G274" s="15"/>
    </row>
    <row r="275" spans="5:7">
      <c r="E275" s="9"/>
      <c r="F275" s="11"/>
      <c r="G275" s="15"/>
    </row>
    <row r="276" spans="5:7">
      <c r="E276" s="9"/>
      <c r="F276" s="11"/>
      <c r="G276" s="15"/>
    </row>
    <row r="277" spans="5:7">
      <c r="E277" s="9"/>
      <c r="F277" s="11"/>
      <c r="G277" s="15"/>
    </row>
    <row r="278" spans="5:7">
      <c r="E278" s="9"/>
      <c r="F278" s="11"/>
      <c r="G278" s="15"/>
    </row>
    <row r="279" spans="5:7">
      <c r="E279" s="9"/>
      <c r="F279" s="11"/>
      <c r="G279" s="15"/>
    </row>
    <row r="280" spans="5:7">
      <c r="E280" s="9"/>
      <c r="F280" s="11"/>
      <c r="G280" s="15"/>
    </row>
    <row r="281" spans="5:7">
      <c r="E281" s="9"/>
      <c r="F281" s="11"/>
      <c r="G281" s="15"/>
    </row>
    <row r="282" spans="5:7">
      <c r="E282" s="9"/>
      <c r="F282" s="11"/>
      <c r="G282" s="15"/>
    </row>
    <row r="283" spans="5:7">
      <c r="E283" s="9"/>
      <c r="F283" s="11"/>
      <c r="G283" s="15"/>
    </row>
    <row r="284" spans="5:7">
      <c r="E284" s="9"/>
      <c r="F284" s="11"/>
      <c r="G284" s="15"/>
    </row>
    <row r="285" spans="5:7">
      <c r="E285" s="9"/>
      <c r="F285" s="11"/>
      <c r="G285" s="15"/>
    </row>
    <row r="286" spans="5:7">
      <c r="E286" s="9"/>
      <c r="F286" s="11"/>
      <c r="G286" s="15"/>
    </row>
    <row r="287" spans="5:7">
      <c r="E287" s="9"/>
      <c r="F287" s="11"/>
      <c r="G287" s="15"/>
    </row>
    <row r="288" spans="5:7">
      <c r="E288" s="9"/>
      <c r="F288" s="11"/>
      <c r="G288" s="15"/>
    </row>
    <row r="289" spans="5:7">
      <c r="E289" s="9"/>
      <c r="F289" s="11"/>
      <c r="G289" s="15"/>
    </row>
    <row r="290" spans="5:7">
      <c r="E290" s="9"/>
      <c r="F290" s="11"/>
      <c r="G290" s="15"/>
    </row>
    <row r="291" spans="5:7">
      <c r="E291" s="9"/>
      <c r="F291" s="11"/>
      <c r="G291" s="15"/>
    </row>
    <row r="292" spans="5:7">
      <c r="E292" s="9"/>
      <c r="F292" s="11"/>
      <c r="G292" s="15"/>
    </row>
    <row r="293" spans="5:7">
      <c r="E293" s="9"/>
      <c r="F293" s="11"/>
      <c r="G293" s="15"/>
    </row>
    <row r="294" spans="5:7">
      <c r="E294" s="9"/>
      <c r="F294" s="11"/>
      <c r="G294" s="15"/>
    </row>
    <row r="295" spans="5:7">
      <c r="E295" s="9"/>
      <c r="F295" s="11"/>
      <c r="G295" s="15"/>
    </row>
    <row r="296" spans="5:7">
      <c r="E296" s="9"/>
      <c r="F296" s="11"/>
      <c r="G296" s="15"/>
    </row>
    <row r="297" spans="5:7">
      <c r="E297" s="9"/>
      <c r="F297" s="11"/>
      <c r="G297" s="15"/>
    </row>
    <row r="298" spans="5:7">
      <c r="E298" s="9"/>
      <c r="F298" s="11"/>
      <c r="G298" s="15"/>
    </row>
    <row r="299" spans="5:7">
      <c r="E299" s="9"/>
      <c r="F299" s="11"/>
      <c r="G299" s="15"/>
    </row>
    <row r="300" spans="5:7">
      <c r="E300" s="9"/>
      <c r="F300" s="11"/>
      <c r="G300" s="15"/>
    </row>
    <row r="301" spans="5:7">
      <c r="E301" s="9"/>
      <c r="F301" s="11"/>
      <c r="G301" s="15"/>
    </row>
    <row r="302" spans="5:7">
      <c r="E302" s="9"/>
      <c r="F302" s="11"/>
      <c r="G302" s="15"/>
    </row>
    <row r="303" spans="5:7">
      <c r="E303" s="9"/>
      <c r="F303" s="11"/>
      <c r="G303" s="15"/>
    </row>
    <row r="304" spans="5:7">
      <c r="E304" s="9"/>
      <c r="F304" s="11"/>
      <c r="G304" s="15"/>
    </row>
    <row r="305" spans="5:7">
      <c r="E305" s="9"/>
      <c r="F305" s="11"/>
      <c r="G305" s="15"/>
    </row>
    <row r="306" spans="5:7">
      <c r="E306" s="9"/>
      <c r="F306" s="11"/>
      <c r="G306" s="15"/>
    </row>
    <row r="307" spans="5:7">
      <c r="E307" s="9"/>
      <c r="F307" s="11"/>
      <c r="G307" s="15"/>
    </row>
    <row r="308" spans="5:7">
      <c r="E308" s="9"/>
      <c r="F308" s="11"/>
      <c r="G308" s="15"/>
    </row>
    <row r="309" spans="5:7">
      <c r="E309" s="9"/>
      <c r="F309" s="11"/>
      <c r="G309" s="15"/>
    </row>
    <row r="310" spans="5:7">
      <c r="E310" s="9"/>
      <c r="F310" s="11"/>
      <c r="G310" s="15"/>
    </row>
    <row r="311" spans="5:7">
      <c r="E311" s="9"/>
      <c r="F311" s="11"/>
      <c r="G311" s="15"/>
    </row>
    <row r="312" spans="5:7">
      <c r="E312" s="9"/>
      <c r="F312" s="11"/>
      <c r="G312" s="15"/>
    </row>
    <row r="313" spans="5:7">
      <c r="E313" s="9"/>
      <c r="F313" s="11"/>
      <c r="G313" s="15"/>
    </row>
    <row r="314" spans="5:7">
      <c r="E314" s="9"/>
      <c r="F314" s="11"/>
      <c r="G314" s="15"/>
    </row>
    <row r="315" spans="5:7">
      <c r="E315" s="9"/>
      <c r="F315" s="11"/>
      <c r="G315" s="15"/>
    </row>
    <row r="316" spans="5:7">
      <c r="E316" s="9"/>
      <c r="F316" s="11"/>
      <c r="G316" s="15"/>
    </row>
    <row r="317" spans="5:7">
      <c r="E317" s="9"/>
      <c r="F317" s="11"/>
      <c r="G317" s="15"/>
    </row>
    <row r="318" spans="5:7">
      <c r="E318" s="9"/>
      <c r="F318" s="11"/>
      <c r="G318" s="15"/>
    </row>
    <row r="319" spans="5:7">
      <c r="E319" s="9"/>
      <c r="F319" s="11"/>
      <c r="G319" s="15"/>
    </row>
    <row r="320" spans="5:7">
      <c r="E320" s="9"/>
      <c r="F320" s="11"/>
      <c r="G320" s="15"/>
    </row>
    <row r="321" spans="5:7">
      <c r="E321" s="9"/>
      <c r="F321" s="11"/>
      <c r="G321" s="15"/>
    </row>
    <row r="322" spans="5:7">
      <c r="E322" s="9"/>
      <c r="F322" s="11"/>
      <c r="G322" s="15"/>
    </row>
    <row r="323" spans="5:7">
      <c r="E323" s="9"/>
      <c r="F323" s="11"/>
      <c r="G323" s="15"/>
    </row>
    <row r="324" spans="5:7">
      <c r="E324" s="9"/>
      <c r="F324" s="11"/>
      <c r="G324" s="15"/>
    </row>
    <row r="325" spans="5:7">
      <c r="E325" s="9"/>
      <c r="F325" s="11"/>
      <c r="G325" s="15"/>
    </row>
    <row r="326" spans="5:7">
      <c r="E326" s="9"/>
      <c r="F326" s="11"/>
      <c r="G326" s="15"/>
    </row>
    <row r="327" spans="5:7">
      <c r="E327" s="9"/>
      <c r="F327" s="11"/>
      <c r="G327" s="15"/>
    </row>
    <row r="328" spans="5:7">
      <c r="E328" s="9"/>
      <c r="F328" s="11"/>
      <c r="G328" s="15"/>
    </row>
    <row r="329" spans="5:7">
      <c r="E329" s="9"/>
      <c r="F329" s="11"/>
      <c r="G329" s="15"/>
    </row>
    <row r="330" spans="5:7">
      <c r="E330" s="9"/>
      <c r="F330" s="11"/>
      <c r="G330" s="15"/>
    </row>
    <row r="331" spans="5:7">
      <c r="E331" s="9"/>
      <c r="F331" s="11"/>
      <c r="G331" s="15"/>
    </row>
    <row r="332" spans="5:7">
      <c r="E332" s="9"/>
      <c r="F332" s="11"/>
      <c r="G332" s="15"/>
    </row>
    <row r="333" spans="5:7">
      <c r="E333" s="9"/>
      <c r="F333" s="11"/>
      <c r="G333" s="15"/>
    </row>
    <row r="334" spans="5:7">
      <c r="E334" s="9"/>
      <c r="F334" s="11"/>
      <c r="G334" s="15"/>
    </row>
    <row r="335" spans="5:7">
      <c r="E335" s="9"/>
      <c r="F335" s="11"/>
      <c r="G335" s="15"/>
    </row>
    <row r="336" spans="5:7">
      <c r="E336" s="9"/>
      <c r="F336" s="11"/>
      <c r="G336" s="15"/>
    </row>
    <row r="337" spans="5:7">
      <c r="E337" s="9"/>
      <c r="F337" s="11"/>
      <c r="G337" s="15"/>
    </row>
    <row r="338" spans="5:7">
      <c r="E338" s="9"/>
      <c r="F338" s="11"/>
      <c r="G338" s="15"/>
    </row>
    <row r="339" spans="5:7">
      <c r="E339" s="9"/>
      <c r="F339" s="11"/>
      <c r="G339" s="15"/>
    </row>
    <row r="340" spans="5:7">
      <c r="E340" s="9"/>
      <c r="F340" s="11"/>
      <c r="G340" s="15"/>
    </row>
    <row r="341" spans="5:7">
      <c r="E341" s="9"/>
      <c r="F341" s="11"/>
      <c r="G341" s="15"/>
    </row>
    <row r="342" spans="5:7">
      <c r="E342" s="9"/>
      <c r="F342" s="11"/>
      <c r="G342" s="15"/>
    </row>
    <row r="343" spans="5:7">
      <c r="E343" s="9"/>
      <c r="F343" s="11"/>
      <c r="G343" s="15"/>
    </row>
    <row r="344" spans="5:7">
      <c r="E344" s="9"/>
      <c r="F344" s="11"/>
      <c r="G344" s="15"/>
    </row>
    <row r="345" spans="5:7">
      <c r="E345" s="9"/>
      <c r="F345" s="11"/>
      <c r="G345" s="15"/>
    </row>
    <row r="346" spans="5:7">
      <c r="E346" s="9"/>
      <c r="F346" s="11"/>
      <c r="G346" s="15"/>
    </row>
    <row r="347" spans="5:7">
      <c r="E347" s="9"/>
      <c r="F347" s="11"/>
      <c r="G347" s="15"/>
    </row>
    <row r="348" spans="5:7">
      <c r="E348" s="9"/>
      <c r="F348" s="11"/>
      <c r="G348" s="15"/>
    </row>
    <row r="349" spans="5:7">
      <c r="E349" s="9"/>
      <c r="F349" s="11"/>
      <c r="G349" s="15"/>
    </row>
    <row r="350" spans="5:7">
      <c r="E350" s="9"/>
      <c r="F350" s="11"/>
      <c r="G350" s="15"/>
    </row>
    <row r="351" spans="5:7">
      <c r="E351" s="9"/>
      <c r="F351" s="11"/>
      <c r="G351" s="15"/>
    </row>
    <row r="352" spans="5:7">
      <c r="E352" s="9"/>
      <c r="F352" s="11"/>
      <c r="G352" s="15"/>
    </row>
    <row r="353" spans="5:7">
      <c r="E353" s="9"/>
      <c r="F353" s="11"/>
      <c r="G353" s="15"/>
    </row>
    <row r="354" spans="5:7">
      <c r="E354" s="9"/>
      <c r="F354" s="11"/>
      <c r="G354" s="15"/>
    </row>
    <row r="355" spans="5:7">
      <c r="E355" s="9"/>
      <c r="F355" s="11"/>
      <c r="G355" s="15"/>
    </row>
    <row r="356" spans="5:7">
      <c r="E356" s="9"/>
      <c r="F356" s="11"/>
      <c r="G356" s="15"/>
    </row>
    <row r="357" spans="5:7">
      <c r="E357" s="9"/>
      <c r="F357" s="11"/>
      <c r="G357" s="15"/>
    </row>
    <row r="358" spans="5:7">
      <c r="E358" s="9"/>
      <c r="F358" s="11"/>
      <c r="G358" s="15"/>
    </row>
    <row r="359" spans="5:7">
      <c r="E359" s="9"/>
      <c r="F359" s="11"/>
      <c r="G359" s="15"/>
    </row>
    <row r="360" spans="5:7">
      <c r="E360" s="9"/>
      <c r="F360" s="11"/>
      <c r="G360" s="15"/>
    </row>
    <row r="361" spans="5:7">
      <c r="E361" s="9"/>
      <c r="F361" s="11"/>
      <c r="G361" s="15"/>
    </row>
    <row r="362" spans="5:7">
      <c r="E362" s="9"/>
      <c r="F362" s="11"/>
      <c r="G362" s="15"/>
    </row>
    <row r="363" spans="5:7">
      <c r="E363" s="9"/>
      <c r="F363" s="11"/>
      <c r="G363" s="15"/>
    </row>
    <row r="364" spans="5:7">
      <c r="E364" s="9"/>
      <c r="F364" s="11"/>
      <c r="G364" s="15"/>
    </row>
    <row r="365" spans="5:7">
      <c r="E365" s="9"/>
      <c r="F365" s="11"/>
      <c r="G365" s="15"/>
    </row>
    <row r="366" spans="5:7">
      <c r="E366" s="9"/>
      <c r="F366" s="11"/>
      <c r="G366" s="15"/>
    </row>
    <row r="367" spans="5:7">
      <c r="E367" s="9"/>
      <c r="F367" s="11"/>
      <c r="G367" s="15"/>
    </row>
    <row r="368" spans="5:7">
      <c r="E368" s="9"/>
      <c r="F368" s="11"/>
      <c r="G368" s="15"/>
    </row>
    <row r="369" spans="5:7">
      <c r="E369" s="9"/>
      <c r="F369" s="11"/>
      <c r="G369" s="15"/>
    </row>
    <row r="370" spans="5:7">
      <c r="E370" s="9"/>
      <c r="F370" s="11"/>
      <c r="G370" s="15"/>
    </row>
    <row r="371" spans="5:7">
      <c r="E371" s="9"/>
      <c r="F371" s="11"/>
      <c r="G371" s="15"/>
    </row>
    <row r="372" spans="5:7">
      <c r="E372" s="9"/>
      <c r="F372" s="11"/>
      <c r="G372" s="15"/>
    </row>
    <row r="373" spans="5:7">
      <c r="E373" s="9"/>
      <c r="F373" s="11"/>
      <c r="G373" s="15"/>
    </row>
    <row r="374" spans="5:7">
      <c r="E374" s="9"/>
      <c r="F374" s="11"/>
      <c r="G374" s="15"/>
    </row>
    <row r="375" spans="5:7">
      <c r="E375" s="9"/>
      <c r="F375" s="11"/>
      <c r="G375" s="15"/>
    </row>
    <row r="376" spans="5:7">
      <c r="E376" s="9"/>
      <c r="F376" s="11"/>
      <c r="G376" s="15"/>
    </row>
    <row r="377" spans="5:7">
      <c r="E377" s="9"/>
      <c r="F377" s="11"/>
      <c r="G377" s="15"/>
    </row>
    <row r="378" spans="5:7">
      <c r="E378" s="9"/>
      <c r="F378" s="11"/>
      <c r="G378" s="15"/>
    </row>
    <row r="379" spans="5:7">
      <c r="E379" s="9"/>
      <c r="F379" s="11"/>
      <c r="G379" s="15"/>
    </row>
    <row r="380" spans="5:7">
      <c r="E380" s="9"/>
      <c r="F380" s="11"/>
      <c r="G380" s="15"/>
    </row>
    <row r="381" spans="5:7">
      <c r="E381" s="9"/>
      <c r="F381" s="11"/>
      <c r="G381" s="15"/>
    </row>
    <row r="382" spans="5:7">
      <c r="E382" s="9"/>
      <c r="F382" s="11"/>
      <c r="G382" s="15"/>
    </row>
    <row r="383" spans="5:7">
      <c r="E383" s="9"/>
      <c r="F383" s="11"/>
      <c r="G383" s="15"/>
    </row>
    <row r="384" spans="5:7">
      <c r="E384" s="9"/>
      <c r="F384" s="11"/>
      <c r="G384" s="15"/>
    </row>
    <row r="385" spans="5:7">
      <c r="E385" s="9"/>
      <c r="F385" s="11"/>
      <c r="G385" s="15"/>
    </row>
    <row r="386" spans="5:7">
      <c r="E386" s="9"/>
      <c r="F386" s="11"/>
      <c r="G386" s="15"/>
    </row>
    <row r="387" spans="5:7">
      <c r="E387" s="9"/>
      <c r="F387" s="11"/>
      <c r="G387" s="15"/>
    </row>
    <row r="388" spans="5:7">
      <c r="E388" s="9"/>
      <c r="F388" s="11"/>
      <c r="G388" s="15"/>
    </row>
    <row r="389" spans="5:7">
      <c r="E389" s="9"/>
      <c r="F389" s="11"/>
      <c r="G389" s="15"/>
    </row>
    <row r="390" spans="5:7">
      <c r="E390" s="9"/>
      <c r="F390" s="11"/>
      <c r="G390" s="15"/>
    </row>
    <row r="391" spans="5:7">
      <c r="E391" s="9"/>
      <c r="F391" s="11"/>
      <c r="G391" s="15"/>
    </row>
    <row r="392" spans="5:7">
      <c r="E392" s="9"/>
      <c r="F392" s="11"/>
      <c r="G392" s="15"/>
    </row>
    <row r="393" spans="5:7">
      <c r="E393" s="9"/>
      <c r="F393" s="11"/>
      <c r="G393" s="15"/>
    </row>
    <row r="394" spans="5:7">
      <c r="E394" s="9"/>
      <c r="F394" s="11"/>
      <c r="G394" s="15"/>
    </row>
    <row r="395" spans="5:7">
      <c r="E395" s="9"/>
      <c r="F395" s="11"/>
      <c r="G395" s="15"/>
    </row>
    <row r="396" spans="5:7">
      <c r="E396" s="9"/>
      <c r="F396" s="11"/>
      <c r="G396" s="15"/>
    </row>
    <row r="397" spans="5:7">
      <c r="E397" s="9"/>
      <c r="F397" s="11"/>
      <c r="G397" s="15"/>
    </row>
    <row r="398" spans="5:7">
      <c r="E398" s="9"/>
      <c r="F398" s="11"/>
      <c r="G398" s="15"/>
    </row>
    <row r="399" spans="5:7">
      <c r="E399" s="9"/>
      <c r="F399" s="11"/>
      <c r="G399" s="15"/>
    </row>
    <row r="400" spans="5:7">
      <c r="E400" s="9"/>
      <c r="F400" s="11"/>
      <c r="G400" s="15"/>
    </row>
    <row r="401" spans="5:7">
      <c r="E401" s="9"/>
      <c r="F401" s="11"/>
      <c r="G401" s="15"/>
    </row>
    <row r="402" spans="5:7">
      <c r="E402" s="9"/>
      <c r="F402" s="11"/>
      <c r="G402" s="15"/>
    </row>
    <row r="403" spans="5:7">
      <c r="E403" s="9"/>
      <c r="F403" s="11"/>
      <c r="G403" s="15"/>
    </row>
    <row r="404" spans="5:7">
      <c r="E404" s="9"/>
      <c r="F404" s="11"/>
      <c r="G404" s="15"/>
    </row>
    <row r="405" spans="5:7">
      <c r="E405" s="9"/>
      <c r="F405" s="11"/>
      <c r="G405" s="15"/>
    </row>
    <row r="406" spans="5:7">
      <c r="E406" s="9"/>
      <c r="F406" s="11"/>
      <c r="G406" s="15"/>
    </row>
    <row r="407" spans="5:7">
      <c r="E407" s="9"/>
      <c r="F407" s="11"/>
      <c r="G407" s="15"/>
    </row>
    <row r="408" spans="5:7">
      <c r="E408" s="9"/>
      <c r="F408" s="11"/>
      <c r="G408" s="15"/>
    </row>
    <row r="409" spans="5:7">
      <c r="E409" s="9"/>
      <c r="F409" s="11"/>
      <c r="G409" s="15"/>
    </row>
    <row r="410" spans="5:7">
      <c r="E410" s="9"/>
      <c r="F410" s="11"/>
      <c r="G410" s="15"/>
    </row>
    <row r="411" spans="5:7">
      <c r="E411" s="9"/>
      <c r="F411" s="11"/>
      <c r="G411" s="15"/>
    </row>
    <row r="412" spans="5:7">
      <c r="E412" s="9"/>
      <c r="F412" s="11"/>
      <c r="G412" s="15"/>
    </row>
    <row r="413" spans="5:7">
      <c r="E413" s="9"/>
      <c r="F413" s="11"/>
      <c r="G413" s="15"/>
    </row>
    <row r="414" spans="5:7">
      <c r="E414" s="9"/>
      <c r="F414" s="11"/>
      <c r="G414" s="15"/>
    </row>
    <row r="415" spans="5:7">
      <c r="E415" s="9"/>
      <c r="F415" s="11"/>
      <c r="G415" s="15"/>
    </row>
    <row r="416" spans="5:7">
      <c r="E416" s="9"/>
      <c r="F416" s="11"/>
      <c r="G416" s="15"/>
    </row>
    <row r="417" spans="5:7">
      <c r="E417" s="9"/>
      <c r="F417" s="11"/>
      <c r="G417" s="15"/>
    </row>
    <row r="418" spans="5:7">
      <c r="E418" s="9"/>
      <c r="F418" s="11"/>
      <c r="G418" s="15"/>
    </row>
    <row r="419" spans="5:7">
      <c r="E419" s="9"/>
      <c r="F419" s="11"/>
      <c r="G419" s="15"/>
    </row>
    <row r="420" spans="5:7">
      <c r="E420" s="9"/>
      <c r="F420" s="11"/>
      <c r="G420" s="15"/>
    </row>
    <row r="421" spans="5:7">
      <c r="E421" s="9"/>
      <c r="F421" s="11"/>
      <c r="G421" s="15"/>
    </row>
    <row r="422" spans="5:7">
      <c r="E422" s="9"/>
      <c r="F422" s="11"/>
      <c r="G422" s="15"/>
    </row>
    <row r="423" spans="5:7">
      <c r="E423" s="9"/>
      <c r="F423" s="11"/>
      <c r="G423" s="15"/>
    </row>
    <row r="424" spans="5:7">
      <c r="E424" s="9"/>
      <c r="F424" s="11"/>
      <c r="G424" s="15"/>
    </row>
    <row r="425" spans="5:7">
      <c r="E425" s="9"/>
      <c r="F425" s="11"/>
      <c r="G425" s="15"/>
    </row>
    <row r="426" spans="5:7">
      <c r="E426" s="9"/>
      <c r="F426" s="11"/>
      <c r="G426" s="15"/>
    </row>
    <row r="427" spans="5:7">
      <c r="E427" s="9"/>
      <c r="F427" s="11"/>
      <c r="G427" s="15"/>
    </row>
    <row r="428" spans="5:7">
      <c r="E428" s="9"/>
      <c r="F428" s="11"/>
      <c r="G428" s="15"/>
    </row>
    <row r="429" spans="5:7">
      <c r="E429" s="9"/>
      <c r="F429" s="11"/>
      <c r="G429" s="15"/>
    </row>
    <row r="430" spans="5:7">
      <c r="E430" s="9"/>
      <c r="F430" s="11"/>
      <c r="G430" s="15"/>
    </row>
    <row r="431" spans="5:7">
      <c r="E431" s="9"/>
      <c r="F431" s="11"/>
      <c r="G431" s="15"/>
    </row>
    <row r="432" spans="5:7">
      <c r="E432" s="9"/>
      <c r="F432" s="11"/>
      <c r="G432" s="15"/>
    </row>
    <row r="433" spans="5:7">
      <c r="E433" s="9"/>
      <c r="F433" s="11"/>
      <c r="G433" s="15"/>
    </row>
    <row r="434" spans="5:7">
      <c r="E434" s="9"/>
      <c r="F434" s="11"/>
      <c r="G434" s="15"/>
    </row>
    <row r="435" spans="5:7">
      <c r="E435" s="9"/>
      <c r="F435" s="11"/>
      <c r="G435" s="15"/>
    </row>
    <row r="436" spans="5:7">
      <c r="E436" s="9"/>
      <c r="F436" s="11"/>
      <c r="G436" s="15"/>
    </row>
    <row r="437" spans="5:7">
      <c r="E437" s="9"/>
      <c r="F437" s="11"/>
      <c r="G437" s="15"/>
    </row>
    <row r="438" spans="5:7">
      <c r="E438" s="9"/>
      <c r="F438" s="11"/>
      <c r="G438" s="15"/>
    </row>
    <row r="439" spans="5:7">
      <c r="E439" s="9"/>
      <c r="F439" s="11"/>
      <c r="G439" s="15"/>
    </row>
    <row r="440" spans="5:7">
      <c r="E440" s="9"/>
      <c r="F440" s="11"/>
      <c r="G440" s="15"/>
    </row>
    <row r="441" spans="5:7">
      <c r="E441" s="9"/>
      <c r="F441" s="11"/>
      <c r="G441" s="15"/>
    </row>
    <row r="442" spans="5:7">
      <c r="E442" s="9"/>
      <c r="F442" s="11"/>
      <c r="G442" s="15"/>
    </row>
    <row r="443" spans="5:7">
      <c r="E443" s="9"/>
      <c r="F443" s="11"/>
      <c r="G443" s="15"/>
    </row>
    <row r="444" spans="5:7">
      <c r="E444" s="9"/>
      <c r="F444" s="11"/>
      <c r="G444" s="15"/>
    </row>
    <row r="445" spans="5:7">
      <c r="E445" s="9"/>
      <c r="F445" s="11"/>
      <c r="G445" s="15"/>
    </row>
    <row r="446" spans="5:7">
      <c r="E446" s="9"/>
      <c r="F446" s="11"/>
      <c r="G446" s="15"/>
    </row>
    <row r="447" spans="5:7">
      <c r="E447" s="9"/>
      <c r="F447" s="11"/>
      <c r="G447" s="15"/>
    </row>
    <row r="448" spans="5:7">
      <c r="E448" s="9"/>
      <c r="F448" s="11"/>
      <c r="G448" s="15"/>
    </row>
    <row r="449" spans="5:7">
      <c r="E449" s="9"/>
      <c r="F449" s="11"/>
      <c r="G449" s="15"/>
    </row>
    <row r="450" spans="5:7">
      <c r="E450" s="9"/>
      <c r="F450" s="11"/>
      <c r="G450" s="15"/>
    </row>
    <row r="451" spans="5:7">
      <c r="E451" s="9"/>
      <c r="F451" s="11"/>
      <c r="G451" s="15"/>
    </row>
    <row r="452" spans="5:7">
      <c r="E452" s="9"/>
      <c r="F452" s="11"/>
      <c r="G452" s="15"/>
    </row>
    <row r="453" spans="5:7">
      <c r="E453" s="9"/>
      <c r="F453" s="11"/>
      <c r="G453" s="15"/>
    </row>
    <row r="454" spans="5:7">
      <c r="E454" s="9"/>
      <c r="F454" s="11"/>
      <c r="G454" s="15"/>
    </row>
    <row r="455" spans="5:7">
      <c r="E455" s="9"/>
      <c r="F455" s="11"/>
      <c r="G455" s="15"/>
    </row>
    <row r="456" spans="5:7">
      <c r="E456" s="9"/>
      <c r="F456" s="11"/>
      <c r="G456" s="15"/>
    </row>
    <row r="457" spans="5:7">
      <c r="E457" s="9"/>
      <c r="F457" s="11"/>
      <c r="G457" s="15"/>
    </row>
    <row r="458" spans="5:7">
      <c r="E458" s="9"/>
      <c r="F458" s="11"/>
      <c r="G458" s="15"/>
    </row>
    <row r="459" spans="5:7">
      <c r="E459" s="9"/>
      <c r="F459" s="11"/>
      <c r="G459" s="15"/>
    </row>
    <row r="460" spans="5:7">
      <c r="E460" s="9"/>
      <c r="F460" s="11"/>
      <c r="G460" s="15"/>
    </row>
    <row r="461" spans="5:7">
      <c r="E461" s="9"/>
      <c r="F461" s="11"/>
      <c r="G461" s="15"/>
    </row>
    <row r="462" spans="5:7">
      <c r="E462" s="9"/>
      <c r="F462" s="11"/>
      <c r="G462" s="15"/>
    </row>
    <row r="463" spans="5:7">
      <c r="E463" s="9"/>
      <c r="F463" s="11"/>
      <c r="G463" s="15"/>
    </row>
    <row r="464" spans="5:7">
      <c r="E464" s="9"/>
      <c r="F464" s="11"/>
      <c r="G464" s="15"/>
    </row>
    <row r="465" spans="5:7">
      <c r="E465" s="9"/>
      <c r="F465" s="11"/>
      <c r="G465" s="15"/>
    </row>
    <row r="466" spans="5:7">
      <c r="E466" s="9"/>
      <c r="F466" s="11"/>
      <c r="G466" s="15"/>
    </row>
    <row r="467" spans="5:7">
      <c r="E467" s="9"/>
      <c r="F467" s="11"/>
      <c r="G467" s="15"/>
    </row>
    <row r="468" spans="5:7">
      <c r="E468" s="9"/>
      <c r="F468" s="11"/>
      <c r="G468" s="15"/>
    </row>
    <row r="469" spans="5:7">
      <c r="E469" s="9"/>
      <c r="F469" s="11"/>
      <c r="G469" s="15"/>
    </row>
    <row r="470" spans="5:7">
      <c r="E470" s="9"/>
      <c r="F470" s="11"/>
      <c r="G470" s="15"/>
    </row>
    <row r="471" spans="5:7">
      <c r="E471" s="9"/>
      <c r="F471" s="11"/>
      <c r="G471" s="15"/>
    </row>
    <row r="472" spans="5:7">
      <c r="E472" s="9"/>
      <c r="F472" s="11"/>
      <c r="G472" s="15"/>
    </row>
    <row r="473" spans="5:7">
      <c r="E473" s="9"/>
      <c r="F473" s="11"/>
      <c r="G473" s="15"/>
    </row>
    <row r="474" spans="5:7">
      <c r="E474" s="9"/>
      <c r="F474" s="11"/>
      <c r="G474" s="15"/>
    </row>
    <row r="475" spans="5:7">
      <c r="E475" s="9"/>
      <c r="F475" s="11"/>
      <c r="G475" s="15"/>
    </row>
    <row r="476" spans="5:7">
      <c r="E476" s="9"/>
      <c r="F476" s="11"/>
      <c r="G476" s="15"/>
    </row>
    <row r="477" spans="5:7">
      <c r="E477" s="9"/>
      <c r="F477" s="11"/>
      <c r="G477" s="15"/>
    </row>
    <row r="478" spans="5:7">
      <c r="E478" s="9"/>
      <c r="F478" s="11"/>
      <c r="G478" s="15"/>
    </row>
    <row r="479" spans="5:7">
      <c r="E479" s="9"/>
      <c r="F479" s="11"/>
      <c r="G479" s="15"/>
    </row>
    <row r="480" spans="5:7">
      <c r="E480" s="9"/>
      <c r="F480" s="11"/>
      <c r="G480" s="15"/>
    </row>
    <row r="481" spans="5:7">
      <c r="E481" s="9"/>
      <c r="F481" s="11"/>
      <c r="G481" s="15"/>
    </row>
    <row r="482" spans="5:7">
      <c r="E482" s="9"/>
      <c r="F482" s="11"/>
      <c r="G482" s="15"/>
    </row>
    <row r="483" spans="5:7">
      <c r="E483" s="9"/>
      <c r="F483" s="11"/>
      <c r="G483" s="15"/>
    </row>
    <row r="484" spans="5:7">
      <c r="E484" s="9"/>
      <c r="F484" s="11"/>
      <c r="G484" s="15"/>
    </row>
    <row r="485" spans="5:7">
      <c r="E485" s="9"/>
      <c r="F485" s="11"/>
      <c r="G485" s="15"/>
    </row>
    <row r="486" spans="5:7">
      <c r="E486" s="9"/>
      <c r="F486" s="11"/>
      <c r="G486" s="15"/>
    </row>
    <row r="487" spans="5:7">
      <c r="E487" s="9"/>
      <c r="F487" s="11"/>
      <c r="G487" s="15"/>
    </row>
    <row r="488" spans="5:7">
      <c r="E488" s="9"/>
      <c r="F488" s="11"/>
      <c r="G488" s="15"/>
    </row>
    <row r="489" spans="5:7">
      <c r="E489" s="9"/>
      <c r="F489" s="11"/>
      <c r="G489" s="15"/>
    </row>
    <row r="490" spans="5:7">
      <c r="E490" s="9"/>
      <c r="F490" s="11"/>
      <c r="G490" s="15"/>
    </row>
  </sheetData>
  <mergeCells count="90">
    <mergeCell ref="B48:D48"/>
    <mergeCell ref="B32:D32"/>
    <mergeCell ref="B33:D33"/>
    <mergeCell ref="B34:D34"/>
    <mergeCell ref="B35:D35"/>
    <mergeCell ref="B36:D36"/>
    <mergeCell ref="B37:D37"/>
    <mergeCell ref="B25:D25"/>
    <mergeCell ref="B26:D26"/>
    <mergeCell ref="B43:D44"/>
    <mergeCell ref="E43:F43"/>
    <mergeCell ref="G43:G44"/>
    <mergeCell ref="B38:D38"/>
    <mergeCell ref="B42:D42"/>
    <mergeCell ref="B29:D29"/>
    <mergeCell ref="B30:D30"/>
    <mergeCell ref="B40:D40"/>
    <mergeCell ref="B41:D41"/>
    <mergeCell ref="B20:D20"/>
    <mergeCell ref="B21:D21"/>
    <mergeCell ref="B22:D22"/>
    <mergeCell ref="B23:D23"/>
    <mergeCell ref="B24:D24"/>
    <mergeCell ref="B5:D6"/>
    <mergeCell ref="B27:D28"/>
    <mergeCell ref="G27:G28"/>
    <mergeCell ref="B8:D8"/>
    <mergeCell ref="B9:D9"/>
    <mergeCell ref="B10:D10"/>
    <mergeCell ref="B11:D11"/>
    <mergeCell ref="E27:F27"/>
    <mergeCell ref="B12:D12"/>
    <mergeCell ref="B13:D13"/>
    <mergeCell ref="B14:D14"/>
    <mergeCell ref="B15:D15"/>
    <mergeCell ref="B16:D16"/>
    <mergeCell ref="B17:D17"/>
    <mergeCell ref="B18:D18"/>
    <mergeCell ref="B19:D19"/>
    <mergeCell ref="J49:J50"/>
    <mergeCell ref="L5:L6"/>
    <mergeCell ref="E5:F5"/>
    <mergeCell ref="H5:I5"/>
    <mergeCell ref="J5:J6"/>
    <mergeCell ref="K5:K6"/>
    <mergeCell ref="G5:G6"/>
    <mergeCell ref="L27:L28"/>
    <mergeCell ref="H27:I27"/>
    <mergeCell ref="K27:K28"/>
    <mergeCell ref="J27:J28"/>
    <mergeCell ref="E57:F57"/>
    <mergeCell ref="G57:G58"/>
    <mergeCell ref="H57:I57"/>
    <mergeCell ref="B49:D50"/>
    <mergeCell ref="E49:F49"/>
    <mergeCell ref="B51:D51"/>
    <mergeCell ref="B52:D52"/>
    <mergeCell ref="B53:D53"/>
    <mergeCell ref="B54:D54"/>
    <mergeCell ref="H49:I49"/>
    <mergeCell ref="B56:D56"/>
    <mergeCell ref="L57:L58"/>
    <mergeCell ref="B31:D31"/>
    <mergeCell ref="B39:D39"/>
    <mergeCell ref="K49:K50"/>
    <mergeCell ref="L49:L50"/>
    <mergeCell ref="G49:G50"/>
    <mergeCell ref="H43:I43"/>
    <mergeCell ref="J43:J44"/>
    <mergeCell ref="K43:K44"/>
    <mergeCell ref="L43:L44"/>
    <mergeCell ref="B45:D45"/>
    <mergeCell ref="B46:D46"/>
    <mergeCell ref="B47:D47"/>
    <mergeCell ref="J57:J58"/>
    <mergeCell ref="K57:K58"/>
    <mergeCell ref="B57:D58"/>
    <mergeCell ref="B62:D62"/>
    <mergeCell ref="B60:D60"/>
    <mergeCell ref="B55:D55"/>
    <mergeCell ref="B72:D72"/>
    <mergeCell ref="B59:D59"/>
    <mergeCell ref="B73:D73"/>
    <mergeCell ref="B93:D93"/>
    <mergeCell ref="B74:D74"/>
    <mergeCell ref="B75:D75"/>
    <mergeCell ref="B76:D76"/>
    <mergeCell ref="B77:D77"/>
    <mergeCell ref="B78:D78"/>
    <mergeCell ref="B92:D92"/>
  </mergeCells>
  <phoneticPr fontId="0" type="noConversion"/>
  <printOptions horizontalCentered="1"/>
  <pageMargins left="0.25" right="0.25" top="0.5" bottom="0.65" header="0.25" footer="0.25"/>
  <pageSetup scale="90" orientation="landscape" r:id="rId1"/>
  <headerFooter alignWithMargins="0">
    <oddHeader>&amp;R&amp;8&amp;D</oddHeader>
    <oddFooter>&amp;R&amp;8&amp;P</oddFooter>
  </headerFooter>
  <customProperties>
    <customPr name="SSCSheetTrackingNo" r:id="rId2"/>
  </customProperties>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Updated Order GFS Order Guide </vt:lpstr>
      <vt:lpstr>Original</vt:lpstr>
      <vt:lpstr>OG Beverage Order sheet</vt:lpstr>
      <vt:lpstr>'OG Beverage Order sheet'!Print_Area</vt:lpstr>
      <vt:lpstr>Original!Print_Area</vt:lpstr>
      <vt:lpstr>'Updated Order GFS Order Guide '!Print_Area</vt:lpstr>
      <vt:lpstr>'OG Beverage Order sheet'!Print_Titles</vt:lpstr>
      <vt:lpstr>Original!Print_Titles</vt:lpstr>
    </vt:vector>
  </TitlesOfParts>
  <Company>RestaurantOwner.com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Food &amp; Beverage Inventory</dc:title>
  <dc:creator>Jim Laube</dc:creator>
  <dc:description>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2014 by RestaurantOwner.com</dc:description>
  <cp:lastModifiedBy>Nest Manager</cp:lastModifiedBy>
  <cp:lastPrinted>2025-03-09T20:57:48Z</cp:lastPrinted>
  <dcterms:created xsi:type="dcterms:W3CDTF">2002-09-30T20:46:38Z</dcterms:created>
  <dcterms:modified xsi:type="dcterms:W3CDTF">2025-03-15T13:37:27Z</dcterms:modified>
  <cp:category>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2017-18 by RestaurantOwner.com</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2058542315</vt:i4>
  </property>
  <property fmtid="{D5CDD505-2E9C-101B-9397-08002B2CF9AE}" pid="3" name="_EmailSubject">
    <vt:lpwstr>inventory</vt:lpwstr>
  </property>
  <property fmtid="{D5CDD505-2E9C-101B-9397-08002B2CF9AE}" pid="4" name="_AuthorEmail">
    <vt:lpwstr>fna@pdq.net</vt:lpwstr>
  </property>
  <property fmtid="{D5CDD505-2E9C-101B-9397-08002B2CF9AE}" pid="5" name="_AuthorEmailDisplayName">
    <vt:lpwstr>Frank Audesirk</vt:lpwstr>
  </property>
  <property fmtid="{D5CDD505-2E9C-101B-9397-08002B2CF9AE}" pid="6" name="_ReviewingToolsShownOnce">
    <vt:lpwstr/>
  </property>
</Properties>
</file>